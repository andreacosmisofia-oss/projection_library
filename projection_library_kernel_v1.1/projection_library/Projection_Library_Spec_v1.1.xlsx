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1_methods" sheetId="2" state="visible" r:id="rId2"/>
    <sheet xmlns:r="http://schemas.openxmlformats.org/officeDocument/2006/relationships" name="02_voices" sheetId="3" state="visible" r:id="rId3"/>
    <sheet xmlns:r="http://schemas.openxmlformats.org/officeDocument/2006/relationships" name="03_kpis" sheetId="4" state="visible" r:id="rId4"/>
    <sheet xmlns:r="http://schemas.openxmlformats.org/officeDocument/2006/relationships" name="04_dependencies" sheetId="5" state="visible" r:id="rId5"/>
    <sheet xmlns:r="http://schemas.openxmlformats.org/officeDocument/2006/relationships" name="05_validation" sheetId="6" state="visible" r:id="rId6"/>
    <sheet xmlns:r="http://schemas.openxmlformats.org/officeDocument/2006/relationships" name="06_tier_matrix" sheetId="7" state="visible" r:id="rId7"/>
    <sheet xmlns:r="http://schemas.openxmlformats.org/officeDocument/2006/relationships" name="07_sector_packs" sheetId="8" state="visible" r:id="rId8"/>
    <sheet xmlns:r="http://schemas.openxmlformats.org/officeDocument/2006/relationships" name="08_approximations" sheetId="9" state="visible" r:id="rId9"/>
    <sheet xmlns:r="http://schemas.openxmlformats.org/officeDocument/2006/relationships" name="09_exclusions_roadmap" sheetId="10" state="visible" r:id="rId10"/>
    <sheet xmlns:r="http://schemas.openxmlformats.org/officeDocument/2006/relationships" name="10_decisions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onsolas"/>
      <b val="1"/>
      <sz val="10"/>
    </font>
    <font>
      <name val="Consolas"/>
      <sz val="9"/>
    </font>
    <font>
      <name val="Calibri"/>
      <b val="1"/>
      <color rgb="00FFFFFF"/>
      <sz val="9"/>
    </font>
    <font>
      <name val="Calibri"/>
      <b val="1"/>
      <color rgb="00000000"/>
      <sz val="9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FD966"/>
      </patternFill>
    </fill>
    <fill>
      <patternFill patternType="solid">
        <fgColor rgb="00F4B084"/>
      </patternFill>
    </fill>
    <fill>
      <patternFill patternType="solid">
        <fgColor rgb="00B4A7D6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FFE699"/>
      </patternFill>
    </fill>
    <fill>
      <patternFill patternType="solid">
        <fgColor rgb="00DEEBF7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A9D18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top" wrapText="1" indent="1"/>
    </xf>
    <xf numFmtId="0" fontId="5" fillId="0" borderId="1" applyAlignment="1" pivotButton="0" quotePrefix="0" xfId="0">
      <alignment horizontal="left" vertical="top" wrapText="1" indent="1"/>
    </xf>
    <xf numFmtId="0" fontId="6" fillId="5" borderId="1" applyAlignment="1" pivotButton="0" quotePrefix="0" xfId="0">
      <alignment horizontal="left" vertical="top" wrapText="1" indent="1"/>
    </xf>
    <xf numFmtId="0" fontId="5" fillId="5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indent="1"/>
    </xf>
    <xf numFmtId="0" fontId="7" fillId="5" borderId="1" applyAlignment="1" pivotButton="0" quotePrefix="0" xfId="0">
      <alignment horizontal="left" vertical="top" inden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 indent="1"/>
    </xf>
    <xf numFmtId="0" fontId="7" fillId="0" borderId="0" applyAlignment="1" pivotButton="0" quotePrefix="0" xfId="0">
      <alignment horizontal="left" vertical="top" indent="1"/>
    </xf>
    <xf numFmtId="0" fontId="8" fillId="15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12" customWidth="1" min="3" max="3"/>
    <col width="50" customWidth="1" min="4" max="4"/>
  </cols>
  <sheetData>
    <row r="1" ht="28" customHeight="1">
      <c r="A1" s="1" t="inlineStr">
        <is>
          <t>Projection Library — Operational Reference v1.1</t>
        </is>
      </c>
    </row>
    <row r="3">
      <c r="A3" s="2" t="inlineStr">
        <is>
          <t>Pilot version:</t>
        </is>
      </c>
      <c r="B3" t="inlineStr">
        <is>
          <t>v1.1</t>
        </is>
      </c>
    </row>
    <row r="4">
      <c r="A4" s="2" t="inlineStr">
        <is>
          <t>Standard contabile:</t>
        </is>
      </c>
      <c r="B4" t="inlineStr">
        <is>
          <t>IFRS (incluso IFRS 15, IFRS 16, IFRS 9, IAS 12, 16, 19, 36, 37, 38, 40)</t>
        </is>
      </c>
    </row>
    <row r="5">
      <c r="A5" s="2" t="inlineStr">
        <is>
          <t>Sign convention:</t>
        </is>
      </c>
      <c r="B5" t="inlineStr">
        <is>
          <t>Alternativa B — IFRS signed (ricavi+, costi-, asset+, liability-)</t>
        </is>
      </c>
    </row>
    <row r="6">
      <c r="A6" s="2" t="inlineStr">
        <is>
          <t>Perimetro:</t>
        </is>
      </c>
      <c r="B6" t="inlineStr">
        <is>
          <t>Mono-perimetro (consolidated / legal_entity / cgu)</t>
        </is>
      </c>
    </row>
    <row r="7">
      <c r="A7" s="2" t="inlineStr">
        <is>
          <t>Settori target:</t>
        </is>
      </c>
      <c r="B7" t="inlineStr">
        <is>
          <t>Industrial, SaaS, Retail, Real Estate, Services</t>
        </is>
      </c>
    </row>
    <row r="8">
      <c r="A8" s="2" t="inlineStr">
        <is>
          <t>Output:</t>
        </is>
      </c>
      <c r="B8" t="inlineStr">
        <is>
          <t>Piano integrato P&amp;L + SP + CF, orizzonte Y1-Y3 annuale</t>
        </is>
      </c>
    </row>
    <row r="9">
      <c r="A9" s="2" t="inlineStr">
        <is>
          <t>Engine consumer:</t>
        </is>
      </c>
      <c r="B9" t="inlineStr">
        <is>
          <t>Python (espressioni valutabili, namespace controllato)</t>
        </is>
      </c>
    </row>
    <row r="10">
      <c r="A10" s="2" t="inlineStr">
        <is>
          <t>Valuta:</t>
        </is>
      </c>
      <c r="B10" t="inlineStr">
        <is>
          <t>EUR (multi-currency = improvement futuro)</t>
        </is>
      </c>
    </row>
    <row r="12" ht="22" customHeight="1">
      <c r="A12" s="3" t="inlineStr">
        <is>
          <t>Indice degli sheet</t>
        </is>
      </c>
    </row>
    <row r="13" ht="32" customHeight="1">
      <c r="A13" s="4" t="inlineStr">
        <is>
          <t>Sheet</t>
        </is>
      </c>
      <c r="B13" s="4" t="inlineStr">
        <is>
          <t>Contenuto</t>
        </is>
      </c>
      <c r="C13" s="4" t="inlineStr">
        <is>
          <t>Record</t>
        </is>
      </c>
      <c r="D13" s="4" t="inlineStr">
        <is>
          <t>Note</t>
        </is>
      </c>
    </row>
    <row r="14">
      <c r="A14" s="5" t="inlineStr">
        <is>
          <t>00_index</t>
        </is>
      </c>
      <c r="B14" s="6" t="inlineStr">
        <is>
          <t>Indice navigabile + version + glossario</t>
        </is>
      </c>
      <c r="C14" s="6" t="inlineStr">
        <is>
          <t>—</t>
        </is>
      </c>
      <c r="D14" s="6" t="inlineStr">
        <is>
          <t>Inizia da qui</t>
        </is>
      </c>
    </row>
    <row r="15">
      <c r="A15" s="7" t="inlineStr">
        <is>
          <t>01_methods</t>
        </is>
      </c>
      <c r="B15" s="8" t="inlineStr">
        <is>
          <t>Method registry: 62 method_id + 19 derived_rule</t>
        </is>
      </c>
      <c r="C15" s="8" t="inlineStr">
        <is>
          <t>81</t>
        </is>
      </c>
      <c r="D15" s="8" t="inlineStr">
        <is>
          <t>Schema completo Step 3</t>
        </is>
      </c>
    </row>
    <row r="16">
      <c r="A16" s="5" t="inlineStr">
        <is>
          <t>02_voices</t>
        </is>
      </c>
      <c r="B16" s="6" t="inlineStr">
        <is>
          <t>Voice registry: 207 voci modello P&amp;L+SP+CF</t>
        </is>
      </c>
      <c r="C16" s="6" t="inlineStr">
        <is>
          <t>207</t>
        </is>
      </c>
      <c r="D16" s="6" t="inlineStr">
        <is>
          <t>Schema completo Step 4</t>
        </is>
      </c>
    </row>
    <row r="17">
      <c r="A17" s="7" t="inlineStr">
        <is>
          <t>03_kpis</t>
        </is>
      </c>
      <c r="B17" s="8" t="inlineStr">
        <is>
          <t>KPI registry: 87 KPI con FK numeratore/denominatore</t>
        </is>
      </c>
      <c r="C17" s="8" t="inlineStr">
        <is>
          <t>87</t>
        </is>
      </c>
      <c r="D17" s="8" t="inlineStr">
        <is>
          <t>Schema completo Step 5</t>
        </is>
      </c>
    </row>
    <row r="18">
      <c r="A18" s="5" t="inlineStr">
        <is>
          <t>04_dependencies</t>
        </is>
      </c>
      <c r="B18" s="6" t="inlineStr">
        <is>
          <t>Dependency graph: voce × dipendenze</t>
        </is>
      </c>
      <c r="C18" s="6" t="inlineStr">
        <is>
          <t>~430</t>
        </is>
      </c>
      <c r="D18" s="6" t="inlineStr">
        <is>
          <t>Topological sort Step 6</t>
        </is>
      </c>
    </row>
    <row r="19">
      <c r="A19" s="7" t="inlineStr">
        <is>
          <t>05_validation</t>
        </is>
      </c>
      <c r="B19" s="8" t="inlineStr">
        <is>
          <t>Validation rules: 73 regole in 7 categorie</t>
        </is>
      </c>
      <c r="C19" s="8" t="inlineStr">
        <is>
          <t>73</t>
        </is>
      </c>
      <c r="D19" s="8" t="inlineStr">
        <is>
          <t>Step 8</t>
        </is>
      </c>
    </row>
    <row r="20">
      <c r="A20" s="5" t="inlineStr">
        <is>
          <t>06_tier_matrix</t>
        </is>
      </c>
      <c r="B20" s="6" t="inlineStr">
        <is>
          <t>Data requirement matrix: TIER 0-4 + method-specific</t>
        </is>
      </c>
      <c r="C20" s="6" t="inlineStr">
        <is>
          <t>~220</t>
        </is>
      </c>
      <c r="D20" s="6" t="inlineStr">
        <is>
          <t>Step 9</t>
        </is>
      </c>
    </row>
    <row r="21">
      <c r="A21" s="7" t="inlineStr">
        <is>
          <t>07_sector_packs</t>
        </is>
      </c>
      <c r="B21" s="8" t="inlineStr">
        <is>
          <t>Sector packs: 5 pack settoriali + generic</t>
        </is>
      </c>
      <c r="C21" s="8" t="inlineStr">
        <is>
          <t>6 pack</t>
        </is>
      </c>
      <c r="D21" s="8" t="inlineStr">
        <is>
          <t>Step 10</t>
        </is>
      </c>
    </row>
    <row r="22">
      <c r="A22" s="5" t="inlineStr">
        <is>
          <t>08_approximations</t>
        </is>
      </c>
      <c r="B22" s="6" t="inlineStr">
        <is>
          <t>Approximation log: 15 entries con materiality</t>
        </is>
      </c>
      <c r="C22" s="6" t="inlineStr">
        <is>
          <t>15</t>
        </is>
      </c>
      <c r="D22" s="6" t="inlineStr">
        <is>
          <t>Step 11 sezione A</t>
        </is>
      </c>
    </row>
    <row r="23">
      <c r="A23" s="7" t="inlineStr">
        <is>
          <t>09_exclusions_roadmap</t>
        </is>
      </c>
      <c r="B23" s="8" t="inlineStr">
        <is>
          <t>Pilot exclusions (16) + Improvement roadmap (16)</t>
        </is>
      </c>
      <c r="C23" s="8" t="inlineStr">
        <is>
          <t>32</t>
        </is>
      </c>
      <c r="D23" s="8" t="inlineStr">
        <is>
          <t>Step 11 sezione B</t>
        </is>
      </c>
    </row>
    <row r="24">
      <c r="A24" s="5" t="inlineStr">
        <is>
          <t>10_decisions_log</t>
        </is>
      </c>
      <c r="B24" s="6" t="inlineStr">
        <is>
          <t>Decisioni log Fase 1, Fase 2, Fase 2.5 (~80 decisioni)</t>
        </is>
      </c>
      <c r="C24" s="6" t="inlineStr">
        <is>
          <t>~80</t>
        </is>
      </c>
      <c r="D24" s="6" t="inlineStr">
        <is>
          <t>Tracciabilità decisionale</t>
        </is>
      </c>
    </row>
    <row r="26" ht="22" customHeight="1">
      <c r="A26" s="3" t="inlineStr">
        <is>
          <t>Glossario terminologico</t>
        </is>
      </c>
    </row>
    <row r="27" ht="32" customHeight="1">
      <c r="A27" s="4" t="inlineStr">
        <is>
          <t>Termine</t>
        </is>
      </c>
      <c r="B27" s="4" t="inlineStr">
        <is>
          <t>Definizione</t>
        </is>
      </c>
      <c r="C27" s="4" t="inlineStr">
        <is>
          <t>Note</t>
        </is>
      </c>
      <c r="D27" s="4" t="inlineStr">
        <is>
          <t>Esempio</t>
        </is>
      </c>
    </row>
    <row r="28">
      <c r="A28" s="9" t="inlineStr">
        <is>
          <t>voice_id</t>
        </is>
      </c>
      <c r="B28" s="6" t="inlineStr">
        <is>
          <t>Identificatore gerarchico di una voce del modello (P&amp;L/SP/CF)</t>
        </is>
      </c>
      <c r="C28" s="6" t="inlineStr">
        <is>
          <t>PK</t>
        </is>
      </c>
      <c r="D28" s="9" t="inlineStr">
        <is>
          <t>pl.rev.gross.product_sales</t>
        </is>
      </c>
    </row>
    <row r="29">
      <c r="A29" s="10" t="inlineStr">
        <is>
          <t>method_id</t>
        </is>
      </c>
      <c r="B29" s="8" t="inlineStr">
        <is>
          <t>Identificatore parlante del metodo di proiezione</t>
        </is>
      </c>
      <c r="C29" s="8" t="inlineStr">
        <is>
          <t>PK</t>
        </is>
      </c>
      <c r="D29" s="10" t="inlineStr">
        <is>
          <t>pct_net_revenue</t>
        </is>
      </c>
    </row>
    <row r="30">
      <c r="A30" s="9" t="inlineStr">
        <is>
          <t>technical_code</t>
        </is>
      </c>
      <c r="B30" s="6" t="inlineStr">
        <is>
          <t>Codice tecnico univoco del metodo</t>
        </is>
      </c>
      <c r="C30" s="6" t="inlineStr">
        <is>
          <t>PK</t>
        </is>
      </c>
      <c r="D30" s="9" t="inlineStr">
        <is>
          <t>M_RAT_001</t>
        </is>
      </c>
    </row>
    <row r="31">
      <c r="A31" s="10" t="inlineStr">
        <is>
          <t>derived_rule_id</t>
        </is>
      </c>
      <c r="B31" s="8" t="inlineStr">
        <is>
          <t>Identificatore di regola contabile derived (non metodo)</t>
        </is>
      </c>
      <c r="C31" s="8" t="inlineStr">
        <is>
          <t>PK</t>
        </is>
      </c>
      <c r="D31" s="10" t="inlineStr">
        <is>
          <t>tax_current_etr</t>
        </is>
      </c>
    </row>
    <row r="32">
      <c r="A32" s="9" t="inlineStr">
        <is>
          <t>R_DRV_xxx</t>
        </is>
      </c>
      <c r="B32" s="6" t="inlineStr">
        <is>
          <t>Technical code di derived rule</t>
        </is>
      </c>
      <c r="C32" s="6" t="inlineStr">
        <is>
          <t>PK</t>
        </is>
      </c>
      <c r="D32" s="9" t="inlineStr">
        <is>
          <t>R_DRV_009</t>
        </is>
      </c>
    </row>
    <row r="33">
      <c r="A33" s="10" t="inlineStr">
        <is>
          <t>driver</t>
        </is>
      </c>
      <c r="B33" s="8" t="inlineStr">
        <is>
          <t>Voce input richiesta (consuntivo storico)</t>
        </is>
      </c>
      <c r="C33" s="8" t="inlineStr">
        <is>
          <t>nature</t>
        </is>
      </c>
      <c r="D33" s="10" t="inlineStr">
        <is>
          <t>pl.cogs.materials.raw</t>
        </is>
      </c>
    </row>
    <row r="34">
      <c r="A34" s="9" t="inlineStr">
        <is>
          <t>derived</t>
        </is>
      </c>
      <c r="B34" s="6" t="inlineStr">
        <is>
          <t>Voce calcolata da altre voci via regola contabile</t>
        </is>
      </c>
      <c r="C34" s="6" t="inlineStr">
        <is>
          <t>nature</t>
        </is>
      </c>
      <c r="D34" s="9" t="inlineStr">
        <is>
          <t>pl.rev.gross_total</t>
        </is>
      </c>
    </row>
    <row r="35">
      <c r="A35" s="10" t="inlineStr">
        <is>
          <t>identity</t>
        </is>
      </c>
      <c r="B35" s="8" t="inlineStr">
        <is>
          <t>Voce calcolata da identità contabile (es. cash from CF)</t>
        </is>
      </c>
      <c r="C35" s="8" t="inlineStr">
        <is>
          <t>nature</t>
        </is>
      </c>
      <c r="D35" s="10" t="inlineStr">
        <is>
          <t>bs.nfp.cash</t>
        </is>
      </c>
    </row>
    <row r="36">
      <c r="A36" s="9" t="inlineStr">
        <is>
          <t>placeholder</t>
        </is>
      </c>
      <c r="B36" s="6" t="inlineStr">
        <is>
          <t>Voce per operazioni straordinarie (default 0 nel pilot)</t>
        </is>
      </c>
      <c r="C36" s="6" t="inlineStr">
        <is>
          <t>nature</t>
        </is>
      </c>
      <c r="D36" s="9" t="inlineStr">
        <is>
          <t>bs.fa.tangible.acquired_via_ma</t>
        </is>
      </c>
    </row>
    <row r="37">
      <c r="A37" s="10" t="inlineStr">
        <is>
          <t>anchor</t>
        </is>
      </c>
      <c r="B37" s="8" t="inlineStr">
        <is>
          <t>Riferimento al valore precedente della stessa voce (lag_1)</t>
        </is>
      </c>
      <c r="C37" s="8" t="inlineStr">
        <is>
          <t>input type</t>
        </is>
      </c>
      <c r="D37" s="10" t="inlineStr">
        <is>
          <t>anchor[t-1]</t>
        </is>
      </c>
    </row>
    <row r="38">
      <c r="A38" s="9" t="inlineStr">
        <is>
          <t>consuntivo</t>
        </is>
      </c>
      <c r="B38" s="6" t="inlineStr">
        <is>
          <t>Riferimento ad altra voce contabile del modello</t>
        </is>
      </c>
      <c r="C38" s="6" t="inlineStr">
        <is>
          <t>input type</t>
        </is>
      </c>
      <c r="D38" s="9" t="inlineStr">
        <is>
          <t>consuntivo['pl.rev.net'][t]</t>
        </is>
      </c>
    </row>
    <row r="39">
      <c r="A39" s="10" t="inlineStr">
        <is>
          <t>driver (input)</t>
        </is>
      </c>
      <c r="B39" s="8" t="inlineStr">
        <is>
          <t>Riferimento a driver industriale storico</t>
        </is>
      </c>
      <c r="C39" s="8" t="inlineStr">
        <is>
          <t>input type</t>
        </is>
      </c>
      <c r="D39" s="10" t="inlineStr">
        <is>
          <t>driver['headcount.cogs_labour_direct'][t]</t>
        </is>
      </c>
    </row>
    <row r="40">
      <c r="A40" s="9" t="inlineStr">
        <is>
          <t>exogenous</t>
        </is>
      </c>
      <c r="B40" s="6" t="inlineStr">
        <is>
          <t>Riferimento a parametro macro esterno</t>
        </is>
      </c>
      <c r="C40" s="6" t="inlineStr">
        <is>
          <t>input type</t>
        </is>
      </c>
      <c r="D40" s="9" t="inlineStr">
        <is>
          <t>exogenous['macro.inflation_cpi'][t]</t>
        </is>
      </c>
    </row>
    <row r="41">
      <c r="A41" s="10" t="inlineStr">
        <is>
          <t>assumption</t>
        </is>
      </c>
      <c r="B41" s="8" t="inlineStr">
        <is>
          <t>Parametro user-controlled</t>
        </is>
      </c>
      <c r="C41" s="8" t="inlineStr">
        <is>
          <t>input type</t>
        </is>
      </c>
      <c r="D41" s="10" t="inlineStr">
        <is>
          <t>assumptions['growth_rate'][t]</t>
        </is>
      </c>
    </row>
    <row r="42">
      <c r="A42" s="9" t="inlineStr">
        <is>
          <t>KPI</t>
        </is>
      </c>
      <c r="B42" s="6" t="inlineStr">
        <is>
          <t>Indicatore calcolato su voci modello, usato come default assumption</t>
        </is>
      </c>
      <c r="C42" s="6" t="inlineStr">
        <is>
          <t>—</t>
        </is>
      </c>
      <c r="D42" s="9" t="inlineStr">
        <is>
          <t>kpi.nwc.dso</t>
        </is>
      </c>
    </row>
    <row r="43">
      <c r="A43" s="10" t="inlineStr">
        <is>
          <t>TIER 0-4</t>
        </is>
      </c>
      <c r="B43" s="8" t="inlineStr">
        <is>
          <t>Livelli crescenti di granularità dati richiesti</t>
        </is>
      </c>
      <c r="C43" s="8" t="inlineStr">
        <is>
          <t>—</t>
        </is>
      </c>
      <c r="D43" s="10" t="inlineStr">
        <is>
          <t>TIER 1=minimum</t>
        </is>
      </c>
    </row>
    <row r="44">
      <c r="A44" s="9" t="inlineStr">
        <is>
          <t>Sector pack</t>
        </is>
      </c>
      <c r="B44" s="6" t="inlineStr">
        <is>
          <t>Configurazione settoriale (voci attive, default methods, KPI)</t>
        </is>
      </c>
      <c r="C44" s="6" t="inlineStr">
        <is>
          <t>—</t>
        </is>
      </c>
      <c r="D44" s="9" t="inlineStr">
        <is>
          <t>industrial, saas, retail, real_estate, services</t>
        </is>
      </c>
    </row>
    <row r="45">
      <c r="A45" s="10" t="inlineStr">
        <is>
          <t>Phase E0-E8</t>
        </is>
      </c>
      <c r="B45" s="8" t="inlineStr">
        <is>
          <t>Fasi di esecuzione engine (E0=setup, E8=CF+quadratura)</t>
        </is>
      </c>
      <c r="C45" s="8" t="inlineStr">
        <is>
          <t>—</t>
        </is>
      </c>
      <c r="D45" s="10" t="inlineStr">
        <is>
          <t>11 fasi totali</t>
        </is>
      </c>
    </row>
    <row r="46">
      <c r="A46" s="9" t="inlineStr">
        <is>
          <t>APX_xxx</t>
        </is>
      </c>
      <c r="B46" s="6" t="inlineStr">
        <is>
          <t>Approximation log entry</t>
        </is>
      </c>
      <c r="C46" s="6" t="inlineStr">
        <is>
          <t>—</t>
        </is>
      </c>
      <c r="D46" s="9" t="inlineStr">
        <is>
          <t>APX_001 = IFRS 15 NWC proxy</t>
        </is>
      </c>
    </row>
    <row r="47">
      <c r="A47" s="10" t="inlineStr">
        <is>
          <t>EXC_xxx</t>
        </is>
      </c>
      <c r="B47" s="8" t="inlineStr">
        <is>
          <t>Pilot scope exclusion entry</t>
        </is>
      </c>
      <c r="C47" s="8" t="inlineStr">
        <is>
          <t>—</t>
        </is>
      </c>
      <c r="D47" s="10" t="inlineStr">
        <is>
          <t>EXC_001 = M&amp;A engine</t>
        </is>
      </c>
    </row>
    <row r="48">
      <c r="A48" s="9" t="inlineStr">
        <is>
          <t>IMP_xxx</t>
        </is>
      </c>
      <c r="B48" s="6" t="inlineStr">
        <is>
          <t>Improvement futuro identificato</t>
        </is>
      </c>
      <c r="C48" s="6" t="inlineStr">
        <is>
          <t>—</t>
        </is>
      </c>
      <c r="D48" s="9" t="inlineStr">
        <is>
          <t>IMP_005 = modulo fiscale</t>
        </is>
      </c>
    </row>
    <row r="49">
      <c r="A49" s="10" t="inlineStr">
        <is>
          <t>Sign convention</t>
        </is>
      </c>
      <c r="B49" s="8" t="inlineStr">
        <is>
          <t>Alternativa B IFRS: ricavi+, costi-, asset+, liability-</t>
        </is>
      </c>
      <c r="C49" s="8" t="inlineStr">
        <is>
          <t>fissato Step 1</t>
        </is>
      </c>
      <c r="D49" s="10" t="inlineStr">
        <is>
          <t>Costs sommati algebricamente in EBITDA</t>
        </is>
      </c>
    </row>
    <row r="50">
      <c r="A50" s="9" t="inlineStr">
        <is>
          <t>Balance check tolerance</t>
        </is>
      </c>
      <c r="B50" s="6" t="inlineStr">
        <is>
          <t>max(1.0, 0.0001 × abs(total_assets))</t>
        </is>
      </c>
      <c r="C50" s="6" t="inlineStr">
        <is>
          <t>Step 1</t>
        </is>
      </c>
      <c r="D50" s="9" t="inlineStr">
        <is>
          <t>Combina assoluta+relativa</t>
        </is>
      </c>
    </row>
  </sheetData>
  <mergeCells count="3">
    <mergeCell ref="A1:D1"/>
    <mergeCell ref="A12:D12"/>
    <mergeCell ref="A26:D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38" customWidth="1" min="3" max="3"/>
    <col width="65" customWidth="1" min="4" max="4"/>
    <col width="30" customWidth="1" min="5" max="5"/>
    <col width="10" customWidth="1" min="6" max="6"/>
    <col width="35" customWidth="1" min="7" max="7"/>
    <col width="28" customWidth="1" min="8" max="8"/>
    <col width="22" customWidth="1" min="9" max="9"/>
    <col width="35" customWidth="1" min="10" max="10"/>
  </cols>
  <sheetData>
    <row r="1" ht="28" customHeight="1">
      <c r="A1" s="1" t="inlineStr">
        <is>
          <t>Method Registry — 62 method_id + 19 derived_rule (81 archetipi)</t>
        </is>
      </c>
    </row>
    <row r="3" ht="22" customHeight="1">
      <c r="A3" s="3" t="inlineStr">
        <is>
          <t>Sezione A — Method Registry (62 metodi di proiezione)</t>
        </is>
      </c>
    </row>
    <row r="4" ht="32" customHeight="1">
      <c r="A4" s="4" t="inlineStr">
        <is>
          <t>method_id</t>
        </is>
      </c>
      <c r="B4" s="4" t="inlineStr">
        <is>
          <t>tech_code</t>
        </is>
      </c>
      <c r="C4" s="4" t="inlineStr">
        <is>
          <t>family</t>
        </is>
      </c>
      <c r="D4" s="4" t="inlineStr">
        <is>
          <t>name_it</t>
        </is>
      </c>
      <c r="E4" s="4" t="inlineStr">
        <is>
          <t>formula (sintesi)</t>
        </is>
      </c>
      <c r="F4" s="4" t="inlineStr">
        <is>
          <t>applicable_voices (esempi)</t>
        </is>
      </c>
      <c r="G4" s="4" t="inlineStr">
        <is>
          <t>complexity</t>
        </is>
      </c>
      <c r="H4" s="4" t="inlineStr">
        <is>
          <t>default_kpi (esempio)</t>
        </is>
      </c>
      <c r="I4" s="4" t="inlineStr">
        <is>
          <t>fallback</t>
        </is>
      </c>
      <c r="J4" s="4" t="inlineStr">
        <is>
          <t>note</t>
        </is>
      </c>
    </row>
    <row r="5">
      <c r="A5" s="9" t="inlineStr">
        <is>
          <t>flat</t>
        </is>
      </c>
      <c r="B5" s="9" t="inlineStr">
        <is>
          <t>M_EXT_001</t>
        </is>
      </c>
      <c r="C5" s="11" t="inlineStr">
        <is>
          <t>EXTRAPOLATION</t>
        </is>
      </c>
      <c r="D5" s="6" t="inlineStr">
        <is>
          <t>Flat (anchor invariato)</t>
        </is>
      </c>
      <c r="E5" s="6" t="inlineStr">
        <is>
          <t>anchor[t-1]</t>
        </is>
      </c>
      <c r="F5" s="6" t="inlineStr">
        <is>
          <t>tutte voci driver come fallback</t>
        </is>
      </c>
      <c r="G5" s="6" t="inlineStr">
        <is>
          <t>simple</t>
        </is>
      </c>
      <c r="H5" s="9" t="inlineStr">
        <is>
          <t>—</t>
        </is>
      </c>
      <c r="I5" s="9" t="inlineStr">
        <is>
          <t>—</t>
        </is>
      </c>
      <c r="J5" s="6" t="inlineStr">
        <is>
          <t>Default conservativo, voci marginali stabili</t>
        </is>
      </c>
    </row>
    <row r="6">
      <c r="A6" s="10" t="inlineStr">
        <is>
          <t>historical_avg_growth</t>
        </is>
      </c>
      <c r="B6" s="10" t="inlineStr">
        <is>
          <t>M_EXT_002</t>
        </is>
      </c>
      <c r="C6" s="11" t="inlineStr">
        <is>
          <t>EXTRAPOLATION</t>
        </is>
      </c>
      <c r="D6" s="8" t="inlineStr">
        <is>
          <t>Crescita media storica</t>
        </is>
      </c>
      <c r="E6" s="8" t="inlineStr">
        <is>
          <t>anchor[t-1] * (1 + growth_rate)</t>
        </is>
      </c>
      <c r="F6" s="8" t="inlineStr">
        <is>
          <t>ricavi, opex, costi voci stabili</t>
        </is>
      </c>
      <c r="G6" s="8" t="inlineStr">
        <is>
          <t>simple</t>
        </is>
      </c>
      <c r="H6" s="10" t="inlineStr">
        <is>
          <t>kpi.growth.&lt;voice&gt;_yoy</t>
        </is>
      </c>
      <c r="I6" s="10" t="inlineStr">
        <is>
          <t>flat</t>
        </is>
      </c>
      <c r="J6" s="8" t="inlineStr">
        <is>
          <t>Default più diffuso, growth da KPI YoY avg</t>
        </is>
      </c>
    </row>
    <row r="7">
      <c r="A7" s="9" t="inlineStr">
        <is>
          <t>cagr_extrapolation</t>
        </is>
      </c>
      <c r="B7" s="9" t="inlineStr">
        <is>
          <t>M_EXT_003</t>
        </is>
      </c>
      <c r="C7" s="11" t="inlineStr">
        <is>
          <t>EXTRAPOLATION</t>
        </is>
      </c>
      <c r="D7" s="6" t="inlineStr">
        <is>
          <t>Estrapolazione CAGR</t>
        </is>
      </c>
      <c r="E7" s="6" t="inlineStr">
        <is>
          <t>anchor[t-1] * (1 + cagr)</t>
        </is>
      </c>
      <c r="F7" s="6" t="inlineStr">
        <is>
          <t>revenue, opex, costi</t>
        </is>
      </c>
      <c r="G7" s="6" t="inlineStr">
        <is>
          <t>simple</t>
        </is>
      </c>
      <c r="H7" s="9" t="inlineStr">
        <is>
          <t>kpi.growth.&lt;voice&gt;_cagr_3y</t>
        </is>
      </c>
      <c r="I7" s="9" t="inlineStr">
        <is>
          <t>flat</t>
        </is>
      </c>
      <c r="J7" s="6" t="inlineStr">
        <is>
          <t>Variante stabile per business mature</t>
        </is>
      </c>
    </row>
    <row r="8">
      <c r="A8" s="10" t="inlineStr">
        <is>
          <t>inflation_indexed_growth</t>
        </is>
      </c>
      <c r="B8" s="10" t="inlineStr">
        <is>
          <t>M_EXT_004</t>
        </is>
      </c>
      <c r="C8" s="11" t="inlineStr">
        <is>
          <t>EXTRAPOLATION</t>
        </is>
      </c>
      <c r="D8" s="8" t="inlineStr">
        <is>
          <t>Crescita indicizzata inflazione</t>
        </is>
      </c>
      <c r="E8" s="8" t="inlineStr">
        <is>
          <t>anchor[t-1] * (1 + cpi * pass_through)</t>
        </is>
      </c>
      <c r="F8" s="8" t="inlineStr">
        <is>
          <t>utilities, maintenance, professional_fees, insurance</t>
        </is>
      </c>
      <c r="G8" s="8" t="inlineStr">
        <is>
          <t>simple</t>
        </is>
      </c>
      <c r="H8" s="10" t="inlineStr">
        <is>
          <t>—</t>
        </is>
      </c>
      <c r="I8" s="10" t="inlineStr">
        <is>
          <t>historical_avg_growth</t>
        </is>
      </c>
      <c r="J8" s="8" t="inlineStr">
        <is>
          <t>Per costi inflation-linked</t>
        </is>
      </c>
    </row>
    <row r="9">
      <c r="A9" s="9" t="inlineStr">
        <is>
          <t>pct_net_revenue</t>
        </is>
      </c>
      <c r="B9" s="9" t="inlineStr">
        <is>
          <t>M_RAT_001</t>
        </is>
      </c>
      <c r="C9" s="12" t="inlineStr">
        <is>
          <t>RATIO</t>
        </is>
      </c>
      <c r="D9" s="6" t="inlineStr">
        <is>
          <t>% del ricavo netto</t>
        </is>
      </c>
      <c r="E9" s="6" t="inlineStr">
        <is>
          <t>-1 * pct * pl.rev.net[t]</t>
        </is>
      </c>
      <c r="F9" s="6" t="inlineStr">
        <is>
          <t>cogs.materials, cogs.subcontracting, opex.commissions</t>
        </is>
      </c>
      <c r="G9" s="6" t="inlineStr">
        <is>
          <t>simple</t>
        </is>
      </c>
      <c r="H9" s="9" t="inlineStr">
        <is>
          <t>kpi.margin.&lt;voice&gt;_pct_revenue</t>
        </is>
      </c>
      <c r="I9" s="9" t="inlineStr">
        <is>
          <t>historical_avg_growth</t>
        </is>
      </c>
      <c r="J9" s="6" t="inlineStr">
        <is>
          <t>Costi variabili activity-driven</t>
        </is>
      </c>
    </row>
    <row r="10">
      <c r="A10" s="10" t="inlineStr">
        <is>
          <t>pct_revenue_with_drift</t>
        </is>
      </c>
      <c r="B10" s="10" t="inlineStr">
        <is>
          <t>M_RAT_002</t>
        </is>
      </c>
      <c r="C10" s="12" t="inlineStr">
        <is>
          <t>RATIO</t>
        </is>
      </c>
      <c r="D10" s="8" t="inlineStr">
        <is>
          <t>% ricavo con drift</t>
        </is>
      </c>
      <c r="E10" s="8" t="inlineStr">
        <is>
          <t>-1 * (pct_start + (pct_target - pct_start) * (t / horizon)) * pl.rev.net[t]</t>
        </is>
      </c>
      <c r="F10" s="8" t="inlineStr">
        <is>
          <t>cogs/opex con margin convergence pianificata</t>
        </is>
      </c>
      <c r="G10" s="8" t="inlineStr">
        <is>
          <t>medium</t>
        </is>
      </c>
      <c r="H10" s="10" t="inlineStr">
        <is>
          <t>—</t>
        </is>
      </c>
      <c r="I10" s="10" t="inlineStr">
        <is>
          <t>pct_net_revenue</t>
        </is>
      </c>
      <c r="J10" s="8" t="inlineStr">
        <is>
          <t>Convergenza lineare verso target margin</t>
        </is>
      </c>
    </row>
    <row r="11">
      <c r="A11" s="9" t="inlineStr">
        <is>
          <t>pct_inventory_writeoff</t>
        </is>
      </c>
      <c r="B11" s="9" t="inlineStr">
        <is>
          <t>M_RAT_003</t>
        </is>
      </c>
      <c r="C11" s="12" t="inlineStr">
        <is>
          <t>RATIO</t>
        </is>
      </c>
      <c r="D11" s="6" t="inlineStr">
        <is>
          <t>% write-off magazzino</t>
        </is>
      </c>
      <c r="E11" s="6" t="inlineStr">
        <is>
          <t>-1 * rate * inventory.total_avg</t>
        </is>
      </c>
      <c r="F11" s="6" t="inlineStr">
        <is>
          <t>pl.cogs.inventory_writeoff</t>
        </is>
      </c>
      <c r="G11" s="6" t="inlineStr">
        <is>
          <t>simple</t>
        </is>
      </c>
      <c r="H11" s="9" t="inlineStr">
        <is>
          <t>kpi.provisions.warranty_usage_rate</t>
        </is>
      </c>
      <c r="I11" s="9" t="inlineStr">
        <is>
          <t>flat</t>
        </is>
      </c>
      <c r="J11" s="6" t="inlineStr">
        <is>
          <t>Write-off magazzino su balance medio</t>
        </is>
      </c>
    </row>
    <row r="12">
      <c r="A12" s="10" t="inlineStr">
        <is>
          <t>pct_gross_revenue</t>
        </is>
      </c>
      <c r="B12" s="10" t="inlineStr">
        <is>
          <t>M_RAT_004</t>
        </is>
      </c>
      <c r="C12" s="12" t="inlineStr">
        <is>
          <t>RATIO</t>
        </is>
      </c>
      <c r="D12" s="8" t="inlineStr">
        <is>
          <t>% del ricavo gross</t>
        </is>
      </c>
      <c r="E12" s="8" t="inlineStr">
        <is>
          <t>-1 * pct * pl.rev.gross_total[t]</t>
        </is>
      </c>
      <c r="F12" s="8" t="inlineStr">
        <is>
          <t>deductions (discounts, rebates, returns, trade_promo)</t>
        </is>
      </c>
      <c r="G12" s="8" t="inlineStr">
        <is>
          <t>simple</t>
        </is>
      </c>
      <c r="H12" s="10" t="inlineStr">
        <is>
          <t>kpi.mix.&lt;voice&gt;_pct_gross</t>
        </is>
      </c>
      <c r="I12" s="10" t="inlineStr">
        <is>
          <t>historical_avg_growth</t>
        </is>
      </c>
      <c r="J12" s="8" t="inlineStr">
        <is>
          <t>Default deduzioni</t>
        </is>
      </c>
    </row>
    <row r="13">
      <c r="A13" s="9" t="inlineStr">
        <is>
          <t>pct_revenue_residual</t>
        </is>
      </c>
      <c r="B13" s="9" t="inlineStr">
        <is>
          <t>M_RAT_005</t>
        </is>
      </c>
      <c r="C13" s="12" t="inlineStr">
        <is>
          <t>RATIO</t>
        </is>
      </c>
      <c r="D13" s="6" t="inlineStr">
        <is>
          <t>% revenue residuale</t>
        </is>
      </c>
      <c r="E13" s="6" t="inlineStr">
        <is>
          <t>pct * pl.rev.net[t]</t>
        </is>
      </c>
      <c r="F13" s="6" t="inlineStr">
        <is>
          <t>NWC residuali, prepayments</t>
        </is>
      </c>
      <c r="G13" s="6" t="inlineStr">
        <is>
          <t>simple</t>
        </is>
      </c>
      <c r="H13" s="9" t="inlineStr">
        <is>
          <t>—</t>
        </is>
      </c>
      <c r="I13" s="9" t="inlineStr">
        <is>
          <t>historical_avg_growth</t>
        </is>
      </c>
      <c r="J13" s="6" t="inlineStr">
        <is>
          <t>Per voci scalabili con revenue</t>
        </is>
      </c>
    </row>
    <row r="14">
      <c r="A14" s="10" t="inlineStr">
        <is>
          <t>days_target</t>
        </is>
      </c>
      <c r="B14" s="10" t="inlineStr">
        <is>
          <t>M_RAT_006</t>
        </is>
      </c>
      <c r="C14" s="12" t="inlineStr">
        <is>
          <t>RATIO</t>
        </is>
      </c>
      <c r="D14" s="8" t="inlineStr">
        <is>
          <t>Days target (DSO/DIO/DPO)</t>
        </is>
      </c>
      <c r="E14" s="8" t="inlineStr">
        <is>
          <t>sign * days * denominator[t] / 365</t>
        </is>
      </c>
      <c r="F14" s="8" t="inlineStr">
        <is>
          <t>ar.trade_gross, inventory.*, ap.trade, contract_assets/liab</t>
        </is>
      </c>
      <c r="G14" s="8" t="inlineStr">
        <is>
          <t>simple</t>
        </is>
      </c>
      <c r="H14" s="10" t="inlineStr">
        <is>
          <t>kpi.nwc.dso/dio/dpo</t>
        </is>
      </c>
      <c r="I14" s="10" t="inlineStr">
        <is>
          <t>rollforward_explicit_flow</t>
        </is>
      </c>
      <c r="J14" s="8" t="inlineStr">
        <is>
          <t>Default NWC voci</t>
        </is>
      </c>
    </row>
    <row r="15">
      <c r="A15" s="9" t="inlineStr">
        <is>
          <t>days_target_with_drift</t>
        </is>
      </c>
      <c r="B15" s="9" t="inlineStr">
        <is>
          <t>M_RAT_007</t>
        </is>
      </c>
      <c r="C15" s="12" t="inlineStr">
        <is>
          <t>RATIO</t>
        </is>
      </c>
      <c r="D15" s="6" t="inlineStr">
        <is>
          <t>Days target con drift</t>
        </is>
      </c>
      <c r="E15" s="6" t="inlineStr">
        <is>
          <t>sign * (days_start + (days_target - days_start) * (t / horizon)) * denominator[t] / 365</t>
        </is>
      </c>
      <c r="F15" s="6" t="inlineStr">
        <is>
          <t>NWC con miglioramento programmato</t>
        </is>
      </c>
      <c r="G15" s="6" t="inlineStr">
        <is>
          <t>medium</t>
        </is>
      </c>
      <c r="H15" s="9" t="inlineStr">
        <is>
          <t>—</t>
        </is>
      </c>
      <c r="I15" s="9" t="inlineStr">
        <is>
          <t>days_target</t>
        </is>
      </c>
      <c r="J15" s="6" t="inlineStr">
        <is>
          <t>DSO improvement plan</t>
        </is>
      </c>
    </row>
    <row r="16">
      <c r="A16" s="10" t="inlineStr">
        <is>
          <t>pct_related_flow</t>
        </is>
      </c>
      <c r="B16" s="10" t="inlineStr">
        <is>
          <t>M_RAT_008</t>
        </is>
      </c>
      <c r="C16" s="12" t="inlineStr">
        <is>
          <t>RATIO</t>
        </is>
      </c>
      <c r="D16" s="8" t="inlineStr">
        <is>
          <t>% di flusso correlato</t>
        </is>
      </c>
      <c r="E16" s="8" t="inlineStr">
        <is>
          <t>sign * pct * denominator[t]</t>
        </is>
      </c>
      <c r="F16" s="8" t="inlineStr">
        <is>
          <t>accrued_expenses, NWC su flow voci</t>
        </is>
      </c>
      <c r="G16" s="8" t="inlineStr">
        <is>
          <t>simple</t>
        </is>
      </c>
      <c r="H16" s="10" t="inlineStr">
        <is>
          <t>kpi.nwc.accrued_days_opex</t>
        </is>
      </c>
      <c r="I16" s="10" t="inlineStr">
        <is>
          <t>days_target</t>
        </is>
      </c>
      <c r="J16" s="8" t="inlineStr">
        <is>
          <t>Equivalente N.1 in % invece che days</t>
        </is>
      </c>
    </row>
    <row r="17">
      <c r="A17" s="9" t="inlineStr">
        <is>
          <t>allowance_pct_ar_gross</t>
        </is>
      </c>
      <c r="B17" s="9" t="inlineStr">
        <is>
          <t>M_RAT_009</t>
        </is>
      </c>
      <c r="C17" s="12" t="inlineStr">
        <is>
          <t>RATIO</t>
        </is>
      </c>
      <c r="D17" s="6" t="inlineStr">
        <is>
          <t>Allowance % AR gross (IFRS 9)</t>
        </is>
      </c>
      <c r="E17" s="6" t="inlineStr">
        <is>
          <t>-1 * ecl_rate * bs.nwc.ar.trade_gross[t]</t>
        </is>
      </c>
      <c r="F17" s="6" t="inlineStr">
        <is>
          <t>bs.nwc.ar.allowance</t>
        </is>
      </c>
      <c r="G17" s="6" t="inlineStr">
        <is>
          <t>simple</t>
        </is>
      </c>
      <c r="H17" s="9" t="inlineStr">
        <is>
          <t>kpi.nwc.ecl_rate</t>
        </is>
      </c>
      <c r="I17" s="9" t="inlineStr">
        <is>
          <t>flat</t>
        </is>
      </c>
      <c r="J17" s="6" t="inlineStr">
        <is>
          <t>IFRS 9 ECL semplificato</t>
        </is>
      </c>
    </row>
    <row r="18">
      <c r="A18" s="10" t="inlineStr">
        <is>
          <t>inventory_production_cycle_days</t>
        </is>
      </c>
      <c r="B18" s="10" t="inlineStr">
        <is>
          <t>M_RAT_010</t>
        </is>
      </c>
      <c r="C18" s="12" t="inlineStr">
        <is>
          <t>RATIO</t>
        </is>
      </c>
      <c r="D18" s="8" t="inlineStr">
        <is>
          <t>Inventory production cycle</t>
        </is>
      </c>
      <c r="E18" s="8" t="inlineStr">
        <is>
          <t>cycle_days * unit_cost * production_volume / 365</t>
        </is>
      </c>
      <c r="F18" s="8" t="inlineStr">
        <is>
          <t>inventory industrial WIP</t>
        </is>
      </c>
      <c r="G18" s="8" t="inlineStr">
        <is>
          <t>medium</t>
        </is>
      </c>
      <c r="H18" s="10" t="inlineStr">
        <is>
          <t>—</t>
        </is>
      </c>
      <c r="I18" s="10" t="inlineStr">
        <is>
          <t>days_target</t>
        </is>
      </c>
      <c r="J18" s="8" t="inlineStr">
        <is>
          <t>Per WIP industriale con volume produttivo</t>
        </is>
      </c>
    </row>
    <row r="19">
      <c r="A19" s="9" t="inlineStr">
        <is>
          <t>capex_pct_revenue</t>
        </is>
      </c>
      <c r="B19" s="9" t="inlineStr">
        <is>
          <t>M_RAT_011</t>
        </is>
      </c>
      <c r="C19" s="12" t="inlineStr">
        <is>
          <t>RATIO</t>
        </is>
      </c>
      <c r="D19" s="6" t="inlineStr">
        <is>
          <t>Capex % revenue</t>
        </is>
      </c>
      <c r="E19" s="6" t="inlineStr">
        <is>
          <t>pct * pl.rev.net[t]</t>
        </is>
      </c>
      <c r="F19" s="6" t="inlineStr">
        <is>
          <t>maintenance_capex, software_capex (default)</t>
        </is>
      </c>
      <c r="G19" s="6" t="inlineStr">
        <is>
          <t>simple</t>
        </is>
      </c>
      <c r="H19" s="9" t="inlineStr">
        <is>
          <t>kpi.fa.capex_intensity_total</t>
        </is>
      </c>
      <c r="I19" s="9" t="inlineStr">
        <is>
          <t>manual_schedule</t>
        </is>
      </c>
      <c r="J19" s="6" t="inlineStr">
        <is>
          <t>Default capex maintenance</t>
        </is>
      </c>
    </row>
    <row r="20">
      <c r="A20" s="10" t="inlineStr">
        <is>
          <t>capex_pct_gross_base</t>
        </is>
      </c>
      <c r="B20" s="10" t="inlineStr">
        <is>
          <t>M_RAT_012</t>
        </is>
      </c>
      <c r="C20" s="12" t="inlineStr">
        <is>
          <t>RATIO</t>
        </is>
      </c>
      <c r="D20" s="8" t="inlineStr">
        <is>
          <t>Capex % base PPE</t>
        </is>
      </c>
      <c r="E20" s="8" t="inlineStr">
        <is>
          <t>pct * bs.fa.tangible.gross_close[t-1]</t>
        </is>
      </c>
      <c r="F20" s="8" t="inlineStr">
        <is>
          <t>maintenance_capex asset-heavy</t>
        </is>
      </c>
      <c r="G20" s="8" t="inlineStr">
        <is>
          <t>simple</t>
        </is>
      </c>
      <c r="H20" s="10" t="inlineStr">
        <is>
          <t>—</t>
        </is>
      </c>
      <c r="I20" s="10" t="inlineStr">
        <is>
          <t>capex_pct_revenue</t>
        </is>
      </c>
      <c r="J20" s="8" t="inlineStr">
        <is>
          <t>Variante per business asset-heavy</t>
        </is>
      </c>
    </row>
    <row r="21">
      <c r="A21" s="9" t="inlineStr">
        <is>
          <t>disposals_pct_gross_base</t>
        </is>
      </c>
      <c r="B21" s="9" t="inlineStr">
        <is>
          <t>M_RAT_013</t>
        </is>
      </c>
      <c r="C21" s="12" t="inlineStr">
        <is>
          <t>RATIO</t>
        </is>
      </c>
      <c r="D21" s="6" t="inlineStr">
        <is>
          <t>Disposals % gross</t>
        </is>
      </c>
      <c r="E21" s="6" t="inlineStr">
        <is>
          <t>-1 * rate * gross_close[t-1]</t>
        </is>
      </c>
      <c r="F21" s="6" t="inlineStr">
        <is>
          <t>disposals_gross PPE/intangibles</t>
        </is>
      </c>
      <c r="G21" s="6" t="inlineStr">
        <is>
          <t>simple</t>
        </is>
      </c>
      <c r="H21" s="9" t="inlineStr">
        <is>
          <t>kpi.fa.disposals_rate_ppe</t>
        </is>
      </c>
      <c r="I21" s="9" t="inlineStr">
        <is>
          <t>manual_zero</t>
        </is>
      </c>
      <c r="J21" s="6" t="inlineStr">
        <is>
          <t>Dismissioni cicliche</t>
        </is>
      </c>
    </row>
    <row r="22">
      <c r="A22" s="10" t="inlineStr">
        <is>
          <t>rou_new_leases_pct_base</t>
        </is>
      </c>
      <c r="B22" s="10" t="inlineStr">
        <is>
          <t>M_RAT_014</t>
        </is>
      </c>
      <c r="C22" s="12" t="inlineStr">
        <is>
          <t>RATIO</t>
        </is>
      </c>
      <c r="D22" s="8" t="inlineStr">
        <is>
          <t>ROU new leases % base</t>
        </is>
      </c>
      <c r="E22" s="8" t="inlineStr">
        <is>
          <t>rate * bs.fa.rou.gross_close[t-1]</t>
        </is>
      </c>
      <c r="F22" s="8" t="inlineStr">
        <is>
          <t>bs.fa.rou.new_contracts</t>
        </is>
      </c>
      <c r="G22" s="8" t="inlineStr">
        <is>
          <t>simple</t>
        </is>
      </c>
      <c r="H22" s="10" t="inlineStr">
        <is>
          <t>kpi.fa.new_leases_pct_base</t>
        </is>
      </c>
      <c r="I22" s="10" t="inlineStr">
        <is>
          <t>manual_zero</t>
        </is>
      </c>
      <c r="J22" s="8" t="inlineStr">
        <is>
          <t>Default rinnovo portafoglio lease</t>
        </is>
      </c>
    </row>
    <row r="23">
      <c r="A23" s="9" t="inlineStr">
        <is>
          <t>lease_payment_pct_opening</t>
        </is>
      </c>
      <c r="B23" s="9" t="inlineStr">
        <is>
          <t>M_RAT_015</t>
        </is>
      </c>
      <c r="C23" s="12" t="inlineStr">
        <is>
          <t>RATIO</t>
        </is>
      </c>
      <c r="D23" s="6" t="inlineStr">
        <is>
          <t>Lease payment % opening</t>
        </is>
      </c>
      <c r="E23" s="6" t="inlineStr">
        <is>
          <t>-1 * pct * abs(lease_liability.close[t-1])</t>
        </is>
      </c>
      <c r="F23" s="6" t="inlineStr">
        <is>
          <t>lease_liability.payments_principal</t>
        </is>
      </c>
      <c r="G23" s="6" t="inlineStr">
        <is>
          <t>simple</t>
        </is>
      </c>
      <c r="H23" s="9" t="inlineStr">
        <is>
          <t>kpi.nfp.lease_payment_pct_opening</t>
        </is>
      </c>
      <c r="I23" s="9" t="inlineStr">
        <is>
          <t>manual_schedule</t>
        </is>
      </c>
      <c r="J23" s="6" t="inlineStr">
        <is>
          <t>Quota capitale lease</t>
        </is>
      </c>
    </row>
    <row r="24">
      <c r="A24" s="10" t="inlineStr">
        <is>
          <t>warranty_usage_pct_balance</t>
        </is>
      </c>
      <c r="B24" s="10" t="inlineStr">
        <is>
          <t>M_RAT_016</t>
        </is>
      </c>
      <c r="C24" s="12" t="inlineStr">
        <is>
          <t>RATIO</t>
        </is>
      </c>
      <c r="D24" s="8" t="inlineStr">
        <is>
          <t>Warranty usage % balance</t>
        </is>
      </c>
      <c r="E24" s="8" t="inlineStr">
        <is>
          <t>-1 * rate * abs(warranty.balance_close[t-1])</t>
        </is>
      </c>
      <c r="F24" s="8" t="inlineStr">
        <is>
          <t>warranty.usage</t>
        </is>
      </c>
      <c r="G24" s="8" t="inlineStr">
        <is>
          <t>simple</t>
        </is>
      </c>
      <c r="H24" s="10" t="inlineStr">
        <is>
          <t>kpi.provisions.warranty_usage_rate</t>
        </is>
      </c>
      <c r="I24" s="10" t="inlineStr">
        <is>
          <t>manual_zero</t>
        </is>
      </c>
      <c r="J24" s="8" t="inlineStr">
        <is>
          <t>Release fondo warranty</t>
        </is>
      </c>
    </row>
    <row r="25">
      <c r="A25" s="9" t="inlineStr">
        <is>
          <t>employee_benefits_service_cost_rate</t>
        </is>
      </c>
      <c r="B25" s="9" t="inlineStr">
        <is>
          <t>M_RAT_017</t>
        </is>
      </c>
      <c r="C25" s="12" t="inlineStr">
        <is>
          <t>RATIO</t>
        </is>
      </c>
      <c r="D25" s="6" t="inlineStr">
        <is>
          <t>EB service cost %</t>
        </is>
      </c>
      <c r="E25" s="6" t="inlineStr">
        <is>
          <t>rate * abs(total_labour_cost[t])</t>
        </is>
      </c>
      <c r="F25" s="6" t="inlineStr">
        <is>
          <t>employee_benefits.service_cost</t>
        </is>
      </c>
      <c r="G25" s="6" t="inlineStr">
        <is>
          <t>medium</t>
        </is>
      </c>
      <c r="H25" s="9" t="inlineStr">
        <is>
          <t>kpi.employee.service_cost_rate</t>
        </is>
      </c>
      <c r="I25" s="9" t="inlineStr">
        <is>
          <t>flat</t>
        </is>
      </c>
      <c r="J25" s="6" t="inlineStr">
        <is>
          <t>Service cost % costo lavoro (TFR ~6.91% IT)</t>
        </is>
      </c>
    </row>
    <row r="26">
      <c r="A26" s="10" t="inlineStr">
        <is>
          <t>employee_benefits_payments_pct_balance</t>
        </is>
      </c>
      <c r="B26" s="10" t="inlineStr">
        <is>
          <t>M_RAT_018</t>
        </is>
      </c>
      <c r="C26" s="12" t="inlineStr">
        <is>
          <t>RATIO</t>
        </is>
      </c>
      <c r="D26" s="8" t="inlineStr">
        <is>
          <t>EB payments % balance</t>
        </is>
      </c>
      <c r="E26" s="8" t="inlineStr">
        <is>
          <t>-1 * turnover * abs(eb.balance_close[t-1])</t>
        </is>
      </c>
      <c r="F26" s="8" t="inlineStr">
        <is>
          <t>employee_benefits.payments</t>
        </is>
      </c>
      <c r="G26" s="8" t="inlineStr">
        <is>
          <t>simple</t>
        </is>
      </c>
      <c r="H26" s="10" t="inlineStr">
        <is>
          <t>kpi.employee.turnover_rate</t>
        </is>
      </c>
      <c r="I26" s="10" t="inlineStr">
        <is>
          <t>manual_schedule</t>
        </is>
      </c>
      <c r="J26" s="8" t="inlineStr">
        <is>
          <t>Liquidazioni turnover-driven</t>
        </is>
      </c>
    </row>
    <row r="27">
      <c r="A27" s="9" t="inlineStr">
        <is>
          <t>warranty_rate_revenue</t>
        </is>
      </c>
      <c r="B27" s="9" t="inlineStr">
        <is>
          <t>M_RAT_019</t>
        </is>
      </c>
      <c r="C27" s="12" t="inlineStr">
        <is>
          <t>RATIO</t>
        </is>
      </c>
      <c r="D27" s="6" t="inlineStr">
        <is>
          <t>Warranty rate × revenue</t>
        </is>
      </c>
      <c r="E27" s="6" t="inlineStr">
        <is>
          <t>-1 * rate * pl.rev.gross.product_sales[t]</t>
        </is>
      </c>
      <c r="F27" s="6" t="inlineStr">
        <is>
          <t>pl.provisions.warranty (accrual)</t>
        </is>
      </c>
      <c r="G27" s="6" t="inlineStr">
        <is>
          <t>simple</t>
        </is>
      </c>
      <c r="H27" s="9" t="inlineStr">
        <is>
          <t>kpi.provisions.warranty_accrual_rate</t>
        </is>
      </c>
      <c r="I27" s="9" t="inlineStr">
        <is>
          <t>flat</t>
        </is>
      </c>
      <c r="J27" s="6" t="inlineStr">
        <is>
          <t>Default accrual warranty</t>
        </is>
      </c>
    </row>
    <row r="28">
      <c r="A28" s="10" t="inlineStr">
        <is>
          <t>warranty_pct_installed_base</t>
        </is>
      </c>
      <c r="B28" s="10" t="inlineStr">
        <is>
          <t>M_RAT_020</t>
        </is>
      </c>
      <c r="C28" s="12" t="inlineStr">
        <is>
          <t>RATIO</t>
        </is>
      </c>
      <c r="D28" s="8" t="inlineStr">
        <is>
          <t>Warranty % installed base</t>
        </is>
      </c>
      <c r="E28" s="8" t="inlineStr">
        <is>
          <t>-1 * rate * driver.warranty.installed_base_value[t]</t>
        </is>
      </c>
      <c r="F28" s="8" t="inlineStr">
        <is>
          <t>pl.provisions.warranty (alternativa)</t>
        </is>
      </c>
      <c r="G28" s="8" t="inlineStr">
        <is>
          <t>medium</t>
        </is>
      </c>
      <c r="H28" s="10" t="inlineStr">
        <is>
          <t>—</t>
        </is>
      </c>
      <c r="I28" s="10" t="inlineStr">
        <is>
          <t>warranty_rate_revenue</t>
        </is>
      </c>
      <c r="J28" s="8" t="inlineStr">
        <is>
          <t>Per business con installed base trackato</t>
        </is>
      </c>
    </row>
    <row r="29">
      <c r="A29" s="9" t="inlineStr">
        <is>
          <t>vat_balance_ratio</t>
        </is>
      </c>
      <c r="B29" s="9" t="inlineStr">
        <is>
          <t>M_RAT_021</t>
        </is>
      </c>
      <c r="C29" s="12" t="inlineStr">
        <is>
          <t>RATIO</t>
        </is>
      </c>
      <c r="D29" s="6" t="inlineStr">
        <is>
          <t>VAT balance ratio</t>
        </is>
      </c>
      <c r="E29" s="6" t="inlineStr">
        <is>
          <t>sign * vat_rate * avg_periods_unpaid * flow[t] / 12</t>
        </is>
      </c>
      <c r="F29" s="6" t="inlineStr">
        <is>
          <t>bs.nwc.other_current_assets/liab.vat_*</t>
        </is>
      </c>
      <c r="G29" s="6" t="inlineStr">
        <is>
          <t>medium</t>
        </is>
      </c>
      <c r="H29" s="9" t="inlineStr">
        <is>
          <t>kpi.nwc.vat_avg_unpaid_periods_pay</t>
        </is>
      </c>
      <c r="I29" s="9" t="inlineStr">
        <is>
          <t>flat</t>
        </is>
      </c>
      <c r="J29" s="6" t="inlineStr">
        <is>
          <t>VAT receivable/payable</t>
        </is>
      </c>
    </row>
    <row r="30">
      <c r="A30" s="10" t="inlineStr">
        <is>
          <t>dividend_payout_ratio</t>
        </is>
      </c>
      <c r="B30" s="10" t="inlineStr">
        <is>
          <t>M_RAT_022</t>
        </is>
      </c>
      <c r="C30" s="12" t="inlineStr">
        <is>
          <t>RATIO</t>
        </is>
      </c>
      <c r="D30" s="8" t="inlineStr">
        <is>
          <t>Dividend payout ratio</t>
        </is>
      </c>
      <c r="E30" s="8" t="inlineStr">
        <is>
          <t>-1 * payout_ratio * pl.net_income[t-1]</t>
        </is>
      </c>
      <c r="F30" s="8" t="inlineStr">
        <is>
          <t>bs.equity.capital.dividends_paid</t>
        </is>
      </c>
      <c r="G30" s="8" t="inlineStr">
        <is>
          <t>simple</t>
        </is>
      </c>
      <c r="H30" s="10" t="inlineStr">
        <is>
          <t>kpi.equity.payout_ratio</t>
        </is>
      </c>
      <c r="I30" s="10" t="inlineStr">
        <is>
          <t>manual_zero</t>
        </is>
      </c>
      <c r="J30" s="8" t="inlineStr">
        <is>
          <t>Default dividendi</t>
        </is>
      </c>
    </row>
    <row r="31">
      <c r="A31" s="9" t="inlineStr">
        <is>
          <t>dividend_per_share</t>
        </is>
      </c>
      <c r="B31" s="9" t="inlineStr">
        <is>
          <t>M_RAT_023</t>
        </is>
      </c>
      <c r="C31" s="12" t="inlineStr">
        <is>
          <t>RATIO</t>
        </is>
      </c>
      <c r="D31" s="6" t="inlineStr">
        <is>
          <t>Dividend per share</t>
        </is>
      </c>
      <c r="E31" s="6" t="inlineStr">
        <is>
          <t>-1 * dps * shares_outstanding</t>
        </is>
      </c>
      <c r="F31" s="6" t="inlineStr">
        <is>
          <t>bs.equity.capital.dividends_paid (alt)</t>
        </is>
      </c>
      <c r="G31" s="6" t="inlineStr">
        <is>
          <t>simple</t>
        </is>
      </c>
      <c r="H31" s="9" t="inlineStr">
        <is>
          <t>kpi.equity.dividend_per_share</t>
        </is>
      </c>
      <c r="I31" s="9" t="inlineStr">
        <is>
          <t>dividend_payout_ratio</t>
        </is>
      </c>
      <c r="J31" s="6" t="inlineStr">
        <is>
          <t>Per società con DPS comunicato</t>
        </is>
      </c>
    </row>
    <row r="32">
      <c r="A32" s="10" t="inlineStr">
        <is>
          <t>deferred_tax_simplified</t>
        </is>
      </c>
      <c r="B32" s="10" t="inlineStr">
        <is>
          <t>M_RAT_024</t>
        </is>
      </c>
      <c r="C32" s="12" t="inlineStr">
        <is>
          <t>RATIO</t>
        </is>
      </c>
      <c r="D32" s="8" t="inlineStr">
        <is>
          <t>Deferred tax semplificato</t>
        </is>
      </c>
      <c r="E32" s="8" t="inlineStr">
        <is>
          <t>anchor[t-1] * (1 + drift)</t>
        </is>
      </c>
      <c r="F32" s="8" t="inlineStr">
        <is>
          <t>bs.tax.dta_movement, dtl_movement</t>
        </is>
      </c>
      <c r="G32" s="8" t="inlineStr">
        <is>
          <t>simple</t>
        </is>
      </c>
      <c r="H32" s="10" t="inlineStr">
        <is>
          <t>—</t>
        </is>
      </c>
      <c r="I32" s="10" t="inlineStr">
        <is>
          <t>manual_schedule</t>
        </is>
      </c>
      <c r="J32" s="8" t="inlineStr">
        <is>
          <t>Drift lieve, no DTA/DTL strutturato</t>
        </is>
      </c>
    </row>
    <row r="33">
      <c r="A33" s="9" t="inlineStr">
        <is>
          <t>volume_price</t>
        </is>
      </c>
      <c r="B33" s="9" t="inlineStr">
        <is>
          <t>M_OPD_001</t>
        </is>
      </c>
      <c r="C33" s="13" t="inlineStr">
        <is>
          <t>OPERATIONAL_DRIVER</t>
        </is>
      </c>
      <c r="D33" s="6" t="inlineStr">
        <is>
          <t>Volume × prezzo</t>
        </is>
      </c>
      <c r="E33" s="6" t="inlineStr">
        <is>
          <t>volume * price / 1000</t>
        </is>
      </c>
      <c r="F33" s="6" t="inlineStr">
        <is>
          <t>pl.rev.gross.product_sales, usage_based</t>
        </is>
      </c>
      <c r="G33" s="6" t="inlineStr">
        <is>
          <t>medium</t>
        </is>
      </c>
      <c r="H33" s="9" t="inlineStr">
        <is>
          <t>—</t>
        </is>
      </c>
      <c r="I33" s="9" t="inlineStr">
        <is>
          <t>historical_avg_growth</t>
        </is>
      </c>
      <c r="J33" s="6" t="inlineStr">
        <is>
          <t>Driver primario revenue product</t>
        </is>
      </c>
    </row>
    <row r="34">
      <c r="A34" s="10" t="inlineStr">
        <is>
          <t>volume_unit_cost</t>
        </is>
      </c>
      <c r="B34" s="10" t="inlineStr">
        <is>
          <t>M_OPD_002</t>
        </is>
      </c>
      <c r="C34" s="13" t="inlineStr">
        <is>
          <t>OPERATIONAL_DRIVER</t>
        </is>
      </c>
      <c r="D34" s="8" t="inlineStr">
        <is>
          <t>Volume × costo unitario</t>
        </is>
      </c>
      <c r="E34" s="8" t="inlineStr">
        <is>
          <t>-1 * volume * unit_cost</t>
        </is>
      </c>
      <c r="F34" s="8" t="inlineStr">
        <is>
          <t>pl.cogs.materials.raw, labour.direct</t>
        </is>
      </c>
      <c r="G34" s="8" t="inlineStr">
        <is>
          <t>medium</t>
        </is>
      </c>
      <c r="H34" s="10" t="inlineStr">
        <is>
          <t>—</t>
        </is>
      </c>
      <c r="I34" s="10" t="inlineStr">
        <is>
          <t>pct_net_revenue</t>
        </is>
      </c>
      <c r="J34" s="8" t="inlineStr">
        <is>
          <t>COGS volume-driven</t>
        </is>
      </c>
    </row>
    <row r="35">
      <c r="A35" s="9" t="inlineStr">
        <is>
          <t>volume_price_split_growth</t>
        </is>
      </c>
      <c r="B35" s="9" t="inlineStr">
        <is>
          <t>M_OPD_003</t>
        </is>
      </c>
      <c r="C35" s="13" t="inlineStr">
        <is>
          <t>OPERATIONAL_DRIVER</t>
        </is>
      </c>
      <c r="D35" s="6" t="inlineStr">
        <is>
          <t>Volume e prezzo split growth</t>
        </is>
      </c>
      <c r="E35" s="6" t="inlineStr">
        <is>
          <t>(volume[t-1]*(1+vol_g)) * (price[t-1]*(1+price_g)) / 1000</t>
        </is>
      </c>
      <c r="F35" s="6" t="inlineStr">
        <is>
          <t>revenue con piano volume/price separati</t>
        </is>
      </c>
      <c r="G35" s="6" t="inlineStr">
        <is>
          <t>medium</t>
        </is>
      </c>
      <c r="H35" s="9" t="inlineStr">
        <is>
          <t>—</t>
        </is>
      </c>
      <c r="I35" s="9" t="inlineStr">
        <is>
          <t>volume_price</t>
        </is>
      </c>
      <c r="J35" s="6" t="inlineStr">
        <is>
          <t>Simile volume_price ma con growth rate separati</t>
        </is>
      </c>
    </row>
    <row r="36">
      <c r="A36" s="10" t="inlineStr">
        <is>
          <t>bom_input_cost</t>
        </is>
      </c>
      <c r="B36" s="10" t="inlineStr">
        <is>
          <t>M_OPD_004</t>
        </is>
      </c>
      <c r="C36" s="13" t="inlineStr">
        <is>
          <t>OPERATIONAL_DRIVER</t>
        </is>
      </c>
      <c r="D36" s="8" t="inlineStr">
        <is>
          <t>BoM input cost</t>
        </is>
      </c>
      <c r="E36" s="8" t="inlineStr">
        <is>
          <t>-1 * volume * Σ(bom_qty_i * bom_price_i)</t>
        </is>
      </c>
      <c r="F36" s="8" t="inlineStr">
        <is>
          <t>pl.cogs.materials.raw (industrial con BoM)</t>
        </is>
      </c>
      <c r="G36" s="8" t="inlineStr">
        <is>
          <t>complex</t>
        </is>
      </c>
      <c r="H36" s="10" t="inlineStr">
        <is>
          <t>—</t>
        </is>
      </c>
      <c r="I36" s="10" t="inlineStr">
        <is>
          <t>volume_unit_cost</t>
        </is>
      </c>
      <c r="J36" s="8" t="inlineStr">
        <is>
          <t>COGS BoM strutturato (N componenti)</t>
        </is>
      </c>
    </row>
    <row r="37">
      <c r="A37" s="9" t="inlineStr">
        <is>
          <t>capacity_utilization_price</t>
        </is>
      </c>
      <c r="B37" s="9" t="inlineStr">
        <is>
          <t>M_OPD_005</t>
        </is>
      </c>
      <c r="C37" s="13" t="inlineStr">
        <is>
          <t>OPERATIONAL_DRIVER</t>
        </is>
      </c>
      <c r="D37" s="6" t="inlineStr">
        <is>
          <t>Capacity × utilization × prezzo</t>
        </is>
      </c>
      <c r="E37" s="6" t="inlineStr">
        <is>
          <t>capacity * utilization * price / 1000</t>
        </is>
      </c>
      <c r="F37" s="6" t="inlineStr">
        <is>
          <t>rental, energy, project, retail (store-driven)</t>
        </is>
      </c>
      <c r="G37" s="6" t="inlineStr">
        <is>
          <t>medium</t>
        </is>
      </c>
      <c r="H37" s="9" t="inlineStr">
        <is>
          <t>—</t>
        </is>
      </c>
      <c r="I37" s="9" t="inlineStr">
        <is>
          <t>historical_avg_growth</t>
        </is>
      </c>
      <c r="J37" s="6" t="inlineStr">
        <is>
          <t>Default per business capacity-driven</t>
        </is>
      </c>
    </row>
    <row r="38">
      <c r="A38" s="10" t="inlineStr">
        <is>
          <t>headcount_unit_cost</t>
        </is>
      </c>
      <c r="B38" s="10" t="inlineStr">
        <is>
          <t>M_OPD_006</t>
        </is>
      </c>
      <c r="C38" s="13" t="inlineStr">
        <is>
          <t>OPERATIONAL_DRIVER</t>
        </is>
      </c>
      <c r="D38" s="8" t="inlineStr">
        <is>
          <t>Headcount × cost per FTE</t>
        </is>
      </c>
      <c r="E38" s="8" t="inlineStr">
        <is>
          <t>-1 * fte * cost_per_fte</t>
        </is>
      </c>
      <c r="F38" s="8" t="inlineStr">
        <is>
          <t>pl.cogs.labour.direct, opex.*.personnel</t>
        </is>
      </c>
      <c r="G38" s="8" t="inlineStr">
        <is>
          <t>medium</t>
        </is>
      </c>
      <c r="H38" s="10" t="inlineStr">
        <is>
          <t>—</t>
        </is>
      </c>
      <c r="I38" s="10" t="inlineStr">
        <is>
          <t>pct_net_revenue</t>
        </is>
      </c>
      <c r="J38" s="8" t="inlineStr">
        <is>
          <t>Default personnel cost</t>
        </is>
      </c>
    </row>
    <row r="39">
      <c r="A39" s="9" t="inlineStr">
        <is>
          <t>multi_driver_chain</t>
        </is>
      </c>
      <c r="B39" s="9" t="inlineStr">
        <is>
          <t>M_OPD_007</t>
        </is>
      </c>
      <c r="C39" s="13" t="inlineStr">
        <is>
          <t>OPERATIONAL_DRIVER</t>
        </is>
      </c>
      <c r="D39" s="6" t="inlineStr">
        <is>
          <t>Multi-driver chain</t>
        </is>
      </c>
      <c r="E39" s="6" t="inlineStr">
        <is>
          <t>prod(driver_i for i in 1..n)</t>
        </is>
      </c>
      <c r="F39" s="6" t="inlineStr">
        <is>
          <t>revenue funnel/multi-stage (es. services FTE × util × rate)</t>
        </is>
      </c>
      <c r="G39" s="6" t="inlineStr">
        <is>
          <t>complex</t>
        </is>
      </c>
      <c r="H39" s="9" t="inlineStr">
        <is>
          <t>—</t>
        </is>
      </c>
      <c r="I39" s="9" t="inlineStr">
        <is>
          <t>headcount_unit_cost</t>
        </is>
      </c>
      <c r="J39" s="6" t="inlineStr">
        <is>
          <t>Catena moltiplicativa generica</t>
        </is>
      </c>
    </row>
    <row r="40">
      <c r="A40" s="10" t="inlineStr">
        <is>
          <t>per_employee_fixed_cost</t>
        </is>
      </c>
      <c r="B40" s="10" t="inlineStr">
        <is>
          <t>M_OPD_008</t>
        </is>
      </c>
      <c r="C40" s="13" t="inlineStr">
        <is>
          <t>OPERATIONAL_DRIVER</t>
        </is>
      </c>
      <c r="D40" s="8" t="inlineStr">
        <is>
          <t>Per-employee fixed cost</t>
        </is>
      </c>
      <c r="E40" s="8" t="inlineStr">
        <is>
          <t>-1 * total_headcount * cost_per_employee</t>
        </is>
      </c>
      <c r="F40" s="8" t="inlineStr">
        <is>
          <t>pl.opex.it.software_cloud, training, welfare</t>
        </is>
      </c>
      <c r="G40" s="8" t="inlineStr">
        <is>
          <t>simple</t>
        </is>
      </c>
      <c r="H40" s="10" t="inlineStr">
        <is>
          <t>—</t>
        </is>
      </c>
      <c r="I40" s="10" t="inlineStr">
        <is>
          <t>historical_avg_growth</t>
        </is>
      </c>
      <c r="J40" s="8" t="inlineStr">
        <is>
          <t>Costi fissi per dipendente</t>
        </is>
      </c>
    </row>
    <row r="41">
      <c r="A41" s="9" t="inlineStr">
        <is>
          <t>variable_fixed_split</t>
        </is>
      </c>
      <c r="B41" s="9" t="inlineStr">
        <is>
          <t>M_OPD_009</t>
        </is>
      </c>
      <c r="C41" s="13" t="inlineStr">
        <is>
          <t>OPERATIONAL_DRIVER</t>
        </is>
      </c>
      <c r="D41" s="6" t="inlineStr">
        <is>
          <t>Variable + fixed split</t>
        </is>
      </c>
      <c r="E41" s="6" t="inlineStr">
        <is>
          <t>-1 * (volume * var_unit_cost + fixed_cost)</t>
        </is>
      </c>
      <c r="F41" s="6" t="inlineStr">
        <is>
          <t>pl.cogs.labour.direct (con turni), overhead ibridi</t>
        </is>
      </c>
      <c r="G41" s="6" t="inlineStr">
        <is>
          <t>complex</t>
        </is>
      </c>
      <c r="H41" s="9" t="inlineStr">
        <is>
          <t>—</t>
        </is>
      </c>
      <c r="I41" s="9" t="inlineStr">
        <is>
          <t>volume_unit_cost</t>
        </is>
      </c>
      <c r="J41" s="6" t="inlineStr">
        <is>
          <t>Costi ibridi variabile+fisso</t>
        </is>
      </c>
    </row>
    <row r="42">
      <c r="A42" s="10" t="inlineStr">
        <is>
          <t>capex_per_unit</t>
        </is>
      </c>
      <c r="B42" s="10" t="inlineStr">
        <is>
          <t>M_OPD_010</t>
        </is>
      </c>
      <c r="C42" s="13" t="inlineStr">
        <is>
          <t>OPERATIONAL_DRIVER</t>
        </is>
      </c>
      <c r="D42" s="8" t="inlineStr">
        <is>
          <t>Capex per nuova unità</t>
        </is>
      </c>
      <c r="E42" s="8" t="inlineStr">
        <is>
          <t>new_units * capex_per_unit</t>
        </is>
      </c>
      <c r="F42" s="8" t="inlineStr">
        <is>
          <t>expansion_capex (industrial, retail nuovo store)</t>
        </is>
      </c>
      <c r="G42" s="8" t="inlineStr">
        <is>
          <t>medium</t>
        </is>
      </c>
      <c r="H42" s="10" t="inlineStr">
        <is>
          <t>—</t>
        </is>
      </c>
      <c r="I42" s="10" t="inlineStr">
        <is>
          <t>manual_schedule</t>
        </is>
      </c>
      <c r="J42" s="8" t="inlineStr">
        <is>
          <t>Default expansion capex</t>
        </is>
      </c>
    </row>
    <row r="43">
      <c r="A43" s="9" t="inlineStr">
        <is>
          <t>rou_new_leases_per_unit</t>
        </is>
      </c>
      <c r="B43" s="9" t="inlineStr">
        <is>
          <t>M_OPD_011</t>
        </is>
      </c>
      <c r="C43" s="13" t="inlineStr">
        <is>
          <t>OPERATIONAL_DRIVER</t>
        </is>
      </c>
      <c r="D43" s="6" t="inlineStr">
        <is>
          <t>ROU new leases per unit</t>
        </is>
      </c>
      <c r="E43" s="6" t="inlineStr">
        <is>
          <t>new_units * lease_value_per_unit</t>
        </is>
      </c>
      <c r="F43" s="6" t="inlineStr">
        <is>
          <t>rou.new_contracts (retail nuovi store)</t>
        </is>
      </c>
      <c r="G43" s="6" t="inlineStr">
        <is>
          <t>medium</t>
        </is>
      </c>
      <c r="H43" s="9" t="inlineStr">
        <is>
          <t>—</t>
        </is>
      </c>
      <c r="I43" s="9" t="inlineStr">
        <is>
          <t>rou_new_leases_pct_base</t>
        </is>
      </c>
      <c r="J43" s="6" t="inlineStr">
        <is>
          <t>Per espansione store retail</t>
        </is>
      </c>
    </row>
    <row r="44">
      <c r="A44" s="10" t="inlineStr">
        <is>
          <t>occupancy_load_factor</t>
        </is>
      </c>
      <c r="B44" s="10" t="inlineStr">
        <is>
          <t>M_OPD_012</t>
        </is>
      </c>
      <c r="C44" s="13" t="inlineStr">
        <is>
          <t>OPERATIONAL_DRIVER</t>
        </is>
      </c>
      <c r="D44" s="8" t="inlineStr">
        <is>
          <t>Occupancy load factor</t>
        </is>
      </c>
      <c r="E44" s="8" t="inlineStr">
        <is>
          <t>units * days_open * load_factor * tariff / 1000</t>
        </is>
      </c>
      <c r="F44" s="8" t="inlineStr">
        <is>
          <t>hospitality, transport revenue</t>
        </is>
      </c>
      <c r="G44" s="8" t="inlineStr">
        <is>
          <t>medium</t>
        </is>
      </c>
      <c r="H44" s="10" t="inlineStr">
        <is>
          <t>—</t>
        </is>
      </c>
      <c r="I44" s="10" t="inlineStr">
        <is>
          <t>capacity_utilization_price</t>
        </is>
      </c>
      <c r="J44" s="8" t="inlineStr">
        <is>
          <t>Settori hospitality/transport</t>
        </is>
      </c>
    </row>
    <row r="45">
      <c r="A45" s="9" t="inlineStr">
        <is>
          <t>account_by_account</t>
        </is>
      </c>
      <c r="B45" s="9" t="inlineStr">
        <is>
          <t>M_BLD_001</t>
        </is>
      </c>
      <c r="C45" s="14" t="inlineStr">
        <is>
          <t>BUILDUP</t>
        </is>
      </c>
      <c r="D45" s="6" t="inlineStr">
        <is>
          <t>Account-by-account</t>
        </is>
      </c>
      <c r="E45" s="6" t="inlineStr">
        <is>
          <t>Σ account_i + long_tail</t>
        </is>
      </c>
      <c r="F45" s="6" t="inlineStr">
        <is>
          <t>revenue B2B con top accounts visibili</t>
        </is>
      </c>
      <c r="G45" s="6" t="inlineStr">
        <is>
          <t>complex</t>
        </is>
      </c>
      <c r="H45" s="9" t="inlineStr">
        <is>
          <t>—</t>
        </is>
      </c>
      <c r="I45" s="9" t="inlineStr">
        <is>
          <t>historical_avg_growth</t>
        </is>
      </c>
      <c r="J45" s="6" t="inlineStr">
        <is>
          <t>Top customer forecast (N parametrico)</t>
        </is>
      </c>
    </row>
    <row r="46">
      <c r="A46" s="10" t="inlineStr">
        <is>
          <t>cohort_buildup</t>
        </is>
      </c>
      <c r="B46" s="10" t="inlineStr">
        <is>
          <t>M_BLD_002</t>
        </is>
      </c>
      <c r="C46" s="14" t="inlineStr">
        <is>
          <t>BUILDUP</t>
        </is>
      </c>
      <c r="D46" s="8" t="inlineStr">
        <is>
          <t>Cohort buildup</t>
        </is>
      </c>
      <c r="E46" s="8" t="inlineStr">
        <is>
          <t>Σ cohort_v.customers * cohort_v.arpu / 1000</t>
        </is>
      </c>
      <c r="F46" s="8" t="inlineStr">
        <is>
          <t>SaaS subscription, real estate vintage</t>
        </is>
      </c>
      <c r="G46" s="8" t="inlineStr">
        <is>
          <t>complex</t>
        </is>
      </c>
      <c r="H46" s="10" t="inlineStr">
        <is>
          <t>—</t>
        </is>
      </c>
      <c r="I46" s="10" t="inlineStr">
        <is>
          <t>arr_bridge</t>
        </is>
      </c>
      <c r="J46" s="8" t="inlineStr">
        <is>
          <t>Panel cohort vintage</t>
        </is>
      </c>
    </row>
    <row r="47">
      <c r="A47" s="9" t="inlineStr">
        <is>
          <t>backlog_conversion</t>
        </is>
      </c>
      <c r="B47" s="9" t="inlineStr">
        <is>
          <t>M_BLD_003</t>
        </is>
      </c>
      <c r="C47" s="14" t="inlineStr">
        <is>
          <t>BUILDUP</t>
        </is>
      </c>
      <c r="D47" s="6" t="inlineStr">
        <is>
          <t>Backlog conversion</t>
        </is>
      </c>
      <c r="E47" s="6" t="inlineStr">
        <is>
          <t>backlog * cr_backlog + intake * cr_same_year</t>
        </is>
      </c>
      <c r="F47" s="6" t="inlineStr">
        <is>
          <t>project, services, construction</t>
        </is>
      </c>
      <c r="G47" s="6" t="inlineStr">
        <is>
          <t>complex</t>
        </is>
      </c>
      <c r="H47" s="9" t="inlineStr">
        <is>
          <t>—</t>
        </is>
      </c>
      <c r="I47" s="9" t="inlineStr">
        <is>
          <t>historical_avg_growth</t>
        </is>
      </c>
      <c r="J47" s="6" t="inlineStr">
        <is>
          <t>Default project revenue</t>
        </is>
      </c>
    </row>
    <row r="48">
      <c r="A48" s="10" t="inlineStr">
        <is>
          <t>order_intake_rollforward</t>
        </is>
      </c>
      <c r="B48" s="10" t="inlineStr">
        <is>
          <t>M_BLD_004</t>
        </is>
      </c>
      <c r="C48" s="14" t="inlineStr">
        <is>
          <t>BUILDUP</t>
        </is>
      </c>
      <c r="D48" s="8" t="inlineStr">
        <is>
          <t>Order intake rollforward</t>
        </is>
      </c>
      <c r="E48" s="8" t="inlineStr">
        <is>
          <t>opening_backlog + intake - closing_backlog</t>
        </is>
      </c>
      <c r="F48" s="8" t="inlineStr">
        <is>
          <t>project revenue alternativo</t>
        </is>
      </c>
      <c r="G48" s="8" t="inlineStr">
        <is>
          <t>complex</t>
        </is>
      </c>
      <c r="H48" s="10" t="inlineStr">
        <is>
          <t>—</t>
        </is>
      </c>
      <c r="I48" s="10" t="inlineStr">
        <is>
          <t>backlog_conversion</t>
        </is>
      </c>
      <c r="J48" s="8" t="inlineStr">
        <is>
          <t>Variante backlog-based</t>
        </is>
      </c>
    </row>
    <row r="49">
      <c r="A49" s="9" t="inlineStr">
        <is>
          <t>book_to_bill</t>
        </is>
      </c>
      <c r="B49" s="9" t="inlineStr">
        <is>
          <t>M_BLD_005</t>
        </is>
      </c>
      <c r="C49" s="14" t="inlineStr">
        <is>
          <t>BUILDUP</t>
        </is>
      </c>
      <c r="D49" s="6" t="inlineStr">
        <is>
          <t>Book-to-bill</t>
        </is>
      </c>
      <c r="E49" s="6" t="inlineStr">
        <is>
          <t>orders / b2b_ratio</t>
        </is>
      </c>
      <c r="F49" s="6" t="inlineStr">
        <is>
          <t>project revenue indiretto</t>
        </is>
      </c>
      <c r="G49" s="6" t="inlineStr">
        <is>
          <t>medium</t>
        </is>
      </c>
      <c r="H49" s="9" t="inlineStr">
        <is>
          <t>—</t>
        </is>
      </c>
      <c r="I49" s="9" t="inlineStr">
        <is>
          <t>backlog_conversion</t>
        </is>
      </c>
      <c r="J49" s="6" t="inlineStr">
        <is>
          <t>Per business semiconductor/tech</t>
        </is>
      </c>
    </row>
    <row r="50">
      <c r="A50" s="10" t="inlineStr">
        <is>
          <t>contract_renewal_waterfall</t>
        </is>
      </c>
      <c r="B50" s="10" t="inlineStr">
        <is>
          <t>M_BLD_006</t>
        </is>
      </c>
      <c r="C50" s="14" t="inlineStr">
        <is>
          <t>BUILDUP</t>
        </is>
      </c>
      <c r="D50" s="8" t="inlineStr">
        <is>
          <t>Contract renewal waterfall</t>
        </is>
      </c>
      <c r="E50" s="8" t="inlineStr">
        <is>
          <t>active + expiring*renewal_rate*(1+uplift) + new</t>
        </is>
      </c>
      <c r="F50" s="8" t="inlineStr">
        <is>
          <t>revenue contratti pluriennali</t>
        </is>
      </c>
      <c r="G50" s="8" t="inlineStr">
        <is>
          <t>complex</t>
        </is>
      </c>
      <c r="H50" s="10" t="inlineStr">
        <is>
          <t>—</t>
        </is>
      </c>
      <c r="I50" s="10" t="inlineStr">
        <is>
          <t>historical_avg_growth</t>
        </is>
      </c>
      <c r="J50" s="8" t="inlineStr">
        <is>
          <t>SaaS B2B contratti</t>
        </is>
      </c>
    </row>
    <row r="51">
      <c r="A51" s="9" t="inlineStr">
        <is>
          <t>revenue_bridge</t>
        </is>
      </c>
      <c r="B51" s="9" t="inlineStr">
        <is>
          <t>M_BRG_001</t>
        </is>
      </c>
      <c r="C51" s="15" t="inlineStr">
        <is>
          <t>BRIDGE</t>
        </is>
      </c>
      <c r="D51" s="6" t="inlineStr">
        <is>
          <t>Revenue bridge analitico</t>
        </is>
      </c>
      <c r="E51" s="6" t="inlineStr">
        <is>
          <t>anchor[t-1] + Δprice + Δvolume + Δmix + Δfx + Δperimeter + Δother</t>
        </is>
      </c>
      <c r="F51" s="6" t="inlineStr">
        <is>
          <t>revenue management reporting</t>
        </is>
      </c>
      <c r="G51" s="6" t="inlineStr">
        <is>
          <t>complex</t>
        </is>
      </c>
      <c r="H51" s="9" t="inlineStr">
        <is>
          <t>—</t>
        </is>
      </c>
      <c r="I51" s="9" t="inlineStr">
        <is>
          <t>historical_avg_growth</t>
        </is>
      </c>
      <c r="J51" s="6" t="inlineStr">
        <is>
          <t>6 componenti delta inclusi M&amp;A perimeter</t>
        </is>
      </c>
    </row>
    <row r="52">
      <c r="A52" s="10" t="inlineStr">
        <is>
          <t>arr_bridge</t>
        </is>
      </c>
      <c r="B52" s="10" t="inlineStr">
        <is>
          <t>M_BRG_002</t>
        </is>
      </c>
      <c r="C52" s="15" t="inlineStr">
        <is>
          <t>BRIDGE</t>
        </is>
      </c>
      <c r="D52" s="8" t="inlineStr">
        <is>
          <t>ARR bridge SaaS</t>
        </is>
      </c>
      <c r="E52" s="8" t="inlineStr">
        <is>
          <t>anchor[t-1] + new_arr + expansion - contraction - churn</t>
        </is>
      </c>
      <c r="F52" s="8" t="inlineStr">
        <is>
          <t>pl.rev.gross.subscription (SaaS)</t>
        </is>
      </c>
      <c r="G52" s="8" t="inlineStr">
        <is>
          <t>medium</t>
        </is>
      </c>
      <c r="H52" s="10" t="inlineStr">
        <is>
          <t>kpi.saas.new_arr_rate (e altri)</t>
        </is>
      </c>
      <c r="I52" s="10" t="inlineStr">
        <is>
          <t>historical_avg_growth</t>
        </is>
      </c>
      <c r="J52" s="8" t="inlineStr">
        <is>
          <t>Default SaaS sector pack — pilot v1.1</t>
        </is>
      </c>
    </row>
    <row r="53">
      <c r="A53" s="9" t="inlineStr">
        <is>
          <t>pipeline_weighted</t>
        </is>
      </c>
      <c r="B53" s="9" t="inlineStr">
        <is>
          <t>M_PRB_001</t>
        </is>
      </c>
      <c r="C53" s="16" t="inlineStr">
        <is>
          <t>PROBABILISTIC</t>
        </is>
      </c>
      <c r="D53" s="6" t="inlineStr">
        <is>
          <t>Pipeline weighted</t>
        </is>
      </c>
      <c r="E53" s="6" t="inlineStr">
        <is>
          <t>Σ pipeline_phase_p * win_prob_phase_p (4 fasi)</t>
        </is>
      </c>
      <c r="F53" s="6" t="inlineStr">
        <is>
          <t>B2B sales, services pipeline</t>
        </is>
      </c>
      <c r="G53" s="6" t="inlineStr">
        <is>
          <t>complex</t>
        </is>
      </c>
      <c r="H53" s="9" t="inlineStr">
        <is>
          <t>—</t>
        </is>
      </c>
      <c r="I53" s="9" t="inlineStr">
        <is>
          <t>historical_avg_growth</t>
        </is>
      </c>
      <c r="J53" s="6" t="inlineStr">
        <is>
          <t>4 fasi: qualified, proposal, negotiation, closing</t>
        </is>
      </c>
    </row>
    <row r="54">
      <c r="A54" s="10" t="inlineStr">
        <is>
          <t>weighted_exposure</t>
        </is>
      </c>
      <c r="B54" s="10" t="inlineStr">
        <is>
          <t>M_PRB_002</t>
        </is>
      </c>
      <c r="C54" s="16" t="inlineStr">
        <is>
          <t>PROBABILISTIC</t>
        </is>
      </c>
      <c r="D54" s="8" t="inlineStr">
        <is>
          <t>Weighted exposure</t>
        </is>
      </c>
      <c r="E54" s="8" t="inlineStr">
        <is>
          <t>-1 * Σ case_i.probability * case_i.exposure</t>
        </is>
      </c>
      <c r="F54" s="8" t="inlineStr">
        <is>
          <t>pl.provisions.legal_other</t>
        </is>
      </c>
      <c r="G54" s="8" t="inlineStr">
        <is>
          <t>complex</t>
        </is>
      </c>
      <c r="H54" s="10" t="inlineStr">
        <is>
          <t>—</t>
        </is>
      </c>
      <c r="I54" s="10" t="inlineStr">
        <is>
          <t>manual_provision_schedule</t>
        </is>
      </c>
      <c r="J54" s="8" t="inlineStr">
        <is>
          <t>Provisions legali probabilistiche</t>
        </is>
      </c>
    </row>
    <row r="55">
      <c r="A55" s="9" t="inlineStr">
        <is>
          <t>allowance_aging_bucket</t>
        </is>
      </c>
      <c r="B55" s="9" t="inlineStr">
        <is>
          <t>M_PRB_003</t>
        </is>
      </c>
      <c r="C55" s="16" t="inlineStr">
        <is>
          <t>PROBABILISTIC</t>
        </is>
      </c>
      <c r="D55" s="6" t="inlineStr">
        <is>
          <t>Allowance aging bucket (IFRS 9 matrix)</t>
        </is>
      </c>
      <c r="E55" s="6" t="inlineStr">
        <is>
          <t>-1 * Σ bucket_b.amount * bucket_b.ecl_rate (5 bucket)</t>
        </is>
      </c>
      <c r="F55" s="6" t="inlineStr">
        <is>
          <t>bs.nwc.ar.allowance (alternativa)</t>
        </is>
      </c>
      <c r="G55" s="6" t="inlineStr">
        <is>
          <t>complex</t>
        </is>
      </c>
      <c r="H55" s="9" t="inlineStr">
        <is>
          <t>—</t>
        </is>
      </c>
      <c r="I55" s="9" t="inlineStr">
        <is>
          <t>allowance_pct_ar_gross</t>
        </is>
      </c>
      <c r="J55" s="6" t="inlineStr">
        <is>
          <t>5 bucket: current, 1-30, 31-90, 91-180, &gt;180</t>
        </is>
      </c>
    </row>
    <row r="56">
      <c r="A56" s="10" t="inlineStr">
        <is>
          <t>rollforward_explicit_flow</t>
        </is>
      </c>
      <c r="B56" s="10" t="inlineStr">
        <is>
          <t>M_RLF_001</t>
        </is>
      </c>
      <c r="C56" s="17" t="inlineStr">
        <is>
          <t>ROLLFORWARD</t>
        </is>
      </c>
      <c r="D56" s="8" t="inlineStr">
        <is>
          <t>Rollforward esplicito</t>
        </is>
      </c>
      <c r="E56" s="8" t="inlineStr">
        <is>
          <t>anchor[t-1] + inflow - outflow</t>
        </is>
      </c>
      <c r="F56" s="8" t="inlineStr">
        <is>
          <t>NWC atipici, accrued con flussi espliciti</t>
        </is>
      </c>
      <c r="G56" s="8" t="inlineStr">
        <is>
          <t>medium</t>
        </is>
      </c>
      <c r="H56" s="10" t="inlineStr">
        <is>
          <t>—</t>
        </is>
      </c>
      <c r="I56" s="10" t="inlineStr">
        <is>
          <t>days_target</t>
        </is>
      </c>
      <c r="J56" s="8" t="inlineStr">
        <is>
          <t>Per voci con flussi inflow/outflow modellati</t>
        </is>
      </c>
    </row>
    <row r="57">
      <c r="A57" s="9" t="inlineStr">
        <is>
          <t>term_loan_amortization_linear</t>
        </is>
      </c>
      <c r="B57" s="9" t="inlineStr">
        <is>
          <t>M_DBT_001</t>
        </is>
      </c>
      <c r="C57" s="18" t="inlineStr">
        <is>
          <t>DEBT_SCHEDULE</t>
        </is>
      </c>
      <c r="D57" s="6" t="inlineStr">
        <is>
          <t>Term loan amortization lineare</t>
        </is>
      </c>
      <c r="E57" s="6" t="inlineStr">
        <is>
          <t>-1 * initial_principal / term_years (se in amortization)</t>
        </is>
      </c>
      <c r="F57" s="6" t="inlineStr">
        <is>
          <t>bs.nfp.borrowings.term_loan_repayments</t>
        </is>
      </c>
      <c r="G57" s="6" t="inlineStr">
        <is>
          <t>medium</t>
        </is>
      </c>
      <c r="H57" s="9" t="inlineStr">
        <is>
          <t>—</t>
        </is>
      </c>
      <c r="I57" s="9" t="inlineStr">
        <is>
          <t>manual_schedule</t>
        </is>
      </c>
      <c r="J57" s="6" t="inlineStr">
        <is>
          <t>Profilo amortizing standard</t>
        </is>
      </c>
    </row>
    <row r="58">
      <c r="A58" s="10" t="inlineStr">
        <is>
          <t>term_loan_amortization_annuity</t>
        </is>
      </c>
      <c r="B58" s="10" t="inlineStr">
        <is>
          <t>M_DBT_002</t>
        </is>
      </c>
      <c r="C58" s="18" t="inlineStr">
        <is>
          <t>DEBT_SCHEDULE</t>
        </is>
      </c>
      <c r="D58" s="8" t="inlineStr">
        <is>
          <t>Term loan annuity</t>
        </is>
      </c>
      <c r="E58" s="8" t="inlineStr">
        <is>
          <t>-1 * principal * rate * (1+rate)^N / ((1+rate)^N - 1)</t>
        </is>
      </c>
      <c r="F58" s="8" t="inlineStr">
        <is>
          <t>bs.nfp.borrowings.term_loan_repayments (alt)</t>
        </is>
      </c>
      <c r="G58" s="8" t="inlineStr">
        <is>
          <t>complex</t>
        </is>
      </c>
      <c r="H58" s="10" t="inlineStr">
        <is>
          <t>—</t>
        </is>
      </c>
      <c r="I58" s="10" t="inlineStr">
        <is>
          <t>term_loan_amortization_linear</t>
        </is>
      </c>
      <c r="J58" s="8" t="inlineStr">
        <is>
          <t>Profilo annuity (rata costante) — pilot v1.1</t>
        </is>
      </c>
    </row>
    <row r="59">
      <c r="A59" s="9" t="inlineStr">
        <is>
          <t>manual_one_off</t>
        </is>
      </c>
      <c r="B59" s="9" t="inlineStr">
        <is>
          <t>M_MAN_001</t>
        </is>
      </c>
      <c r="C59" s="19" t="inlineStr">
        <is>
          <t>MANUAL</t>
        </is>
      </c>
      <c r="D59" s="6" t="inlineStr">
        <is>
          <t>Manual one-off</t>
        </is>
      </c>
      <c r="E59" s="6" t="inlineStr">
        <is>
          <t>assumptions['amount'][t]</t>
        </is>
      </c>
      <c r="F59" s="6" t="inlineStr">
        <is>
          <t>other_op_income.non_recurring, non_operating_extraordinary</t>
        </is>
      </c>
      <c r="G59" s="6" t="inlineStr">
        <is>
          <t>simple</t>
        </is>
      </c>
      <c r="H59" s="9" t="inlineStr">
        <is>
          <t>—</t>
        </is>
      </c>
      <c r="I59" s="9" t="inlineStr">
        <is>
          <t>manual_zero</t>
        </is>
      </c>
      <c r="J59" s="6" t="inlineStr">
        <is>
          <t>Importi una-tantum</t>
        </is>
      </c>
    </row>
    <row r="60">
      <c r="A60" s="10" t="inlineStr">
        <is>
          <t>manual_provision_schedule</t>
        </is>
      </c>
      <c r="B60" s="10" t="inlineStr">
        <is>
          <t>M_MAN_002</t>
        </is>
      </c>
      <c r="C60" s="19" t="inlineStr">
        <is>
          <t>MANUAL</t>
        </is>
      </c>
      <c r="D60" s="8" t="inlineStr">
        <is>
          <t>Manual provision schedule</t>
        </is>
      </c>
      <c r="E60" s="8" t="inlineStr">
        <is>
          <t>-1 * abs(amount[t])</t>
        </is>
      </c>
      <c r="F60" s="8" t="inlineStr">
        <is>
          <t>pl.provisions.restructuring/legal_other; provisions usage</t>
        </is>
      </c>
      <c r="G60" s="8" t="inlineStr">
        <is>
          <t>simple</t>
        </is>
      </c>
      <c r="H60" s="10" t="inlineStr">
        <is>
          <t>—</t>
        </is>
      </c>
      <c r="I60" s="10" t="inlineStr">
        <is>
          <t>manual_zero</t>
        </is>
      </c>
      <c r="J60" s="8" t="inlineStr">
        <is>
          <t>Provision con timing predefinito</t>
        </is>
      </c>
    </row>
    <row r="61">
      <c r="A61" s="9" t="inlineStr">
        <is>
          <t>manual_zero_placeholder</t>
        </is>
      </c>
      <c r="B61" s="9" t="inlineStr">
        <is>
          <t>M_MAN_003</t>
        </is>
      </c>
      <c r="C61" s="19" t="inlineStr">
        <is>
          <t>MANUAL</t>
        </is>
      </c>
      <c r="D61" s="6" t="inlineStr">
        <is>
          <t>Manual zero placeholder</t>
        </is>
      </c>
      <c r="E61" s="6" t="inlineStr">
        <is>
          <t>0</t>
        </is>
      </c>
      <c r="F61" s="6" t="inlineStr">
        <is>
          <t>FX, equity_method (mono-perimetro)</t>
        </is>
      </c>
      <c r="G61" s="6" t="inlineStr">
        <is>
          <t>simple</t>
        </is>
      </c>
      <c r="H61" s="9" t="inlineStr">
        <is>
          <t>—</t>
        </is>
      </c>
      <c r="I61" s="9" t="inlineStr">
        <is>
          <t>—</t>
        </is>
      </c>
      <c r="J61" s="6" t="inlineStr">
        <is>
          <t>Placeholder forzato a zero</t>
        </is>
      </c>
    </row>
    <row r="62">
      <c r="A62" s="10" t="inlineStr">
        <is>
          <t>manual_schedule</t>
        </is>
      </c>
      <c r="B62" s="10" t="inlineStr">
        <is>
          <t>M_MAN_004</t>
        </is>
      </c>
      <c r="C62" s="19" t="inlineStr">
        <is>
          <t>MANUAL</t>
        </is>
      </c>
      <c r="D62" s="8" t="inlineStr">
        <is>
          <t>Manual schedule</t>
        </is>
      </c>
      <c r="E62" s="8" t="inlineStr">
        <is>
          <t>amount[t]</t>
        </is>
      </c>
      <c r="F62" s="8" t="inlineStr">
        <is>
          <t>capex, debt schedule, equity changes, voci episodiche</t>
        </is>
      </c>
      <c r="G62" s="8" t="inlineStr">
        <is>
          <t>simple</t>
        </is>
      </c>
      <c r="H62" s="10" t="inlineStr">
        <is>
          <t>—</t>
        </is>
      </c>
      <c r="I62" s="10" t="inlineStr">
        <is>
          <t>—</t>
        </is>
      </c>
      <c r="J62" s="8" t="inlineStr">
        <is>
          <t>Input manuale generico per anno</t>
        </is>
      </c>
    </row>
    <row r="63">
      <c r="A63" s="9" t="inlineStr">
        <is>
          <t>manual_zero</t>
        </is>
      </c>
      <c r="B63" s="9" t="inlineStr">
        <is>
          <t>M_MAN_005</t>
        </is>
      </c>
      <c r="C63" s="19" t="inlineStr">
        <is>
          <t>MANUAL</t>
        </is>
      </c>
      <c r="D63" s="6" t="inlineStr">
        <is>
          <t>Manual zero (default)</t>
        </is>
      </c>
      <c r="E63" s="6" t="inlineStr">
        <is>
          <t>0</t>
        </is>
      </c>
      <c r="F63" s="6" t="inlineStr">
        <is>
          <t>placeholder M&amp;A, voci episodiche</t>
        </is>
      </c>
      <c r="G63" s="6" t="inlineStr">
        <is>
          <t>simple</t>
        </is>
      </c>
      <c r="H63" s="9" t="inlineStr">
        <is>
          <t>—</t>
        </is>
      </c>
      <c r="I63" s="9" t="inlineStr">
        <is>
          <t>—</t>
        </is>
      </c>
      <c r="J63" s="6" t="inlineStr">
        <is>
          <t>Default conservativo</t>
        </is>
      </c>
    </row>
    <row r="64">
      <c r="A64" s="10" t="inlineStr">
        <is>
          <t>manual_impairment_schedule</t>
        </is>
      </c>
      <c r="B64" s="10" t="inlineStr">
        <is>
          <t>M_MAN_006</t>
        </is>
      </c>
      <c r="C64" s="19" t="inlineStr">
        <is>
          <t>MANUAL</t>
        </is>
      </c>
      <c r="D64" s="8" t="inlineStr">
        <is>
          <t>Manual impairment schedule</t>
        </is>
      </c>
      <c r="E64" s="8" t="inlineStr">
        <is>
          <t>-1 * abs(amount[t])</t>
        </is>
      </c>
      <c r="F64" s="8" t="inlineStr">
        <is>
          <t>pl.impairment.* voci</t>
        </is>
      </c>
      <c r="G64" s="8" t="inlineStr">
        <is>
          <t>simple</t>
        </is>
      </c>
      <c r="H64" s="10" t="inlineStr">
        <is>
          <t>—</t>
        </is>
      </c>
      <c r="I64" s="10" t="inlineStr">
        <is>
          <t>manual_zero</t>
        </is>
      </c>
      <c r="J64" s="8" t="inlineStr">
        <is>
          <t>Impairment sempre negativo</t>
        </is>
      </c>
    </row>
    <row r="65">
      <c r="A65" s="9" t="inlineStr">
        <is>
          <t>manual_lease_schedule</t>
        </is>
      </c>
      <c r="B65" s="9" t="inlineStr">
        <is>
          <t>M_MAN_007</t>
        </is>
      </c>
      <c r="C65" s="19" t="inlineStr">
        <is>
          <t>MANUAL</t>
        </is>
      </c>
      <c r="D65" s="6" t="inlineStr">
        <is>
          <t>Manual lease schedule</t>
        </is>
      </c>
      <c r="E65" s="6" t="inlineStr">
        <is>
          <t>amount[t]</t>
        </is>
      </c>
      <c r="F65" s="6" t="inlineStr">
        <is>
          <t>bs.fa.rou.new_contracts (alternativa manual)</t>
        </is>
      </c>
      <c r="G65" s="6" t="inlineStr">
        <is>
          <t>simple</t>
        </is>
      </c>
      <c r="H65" s="9" t="inlineStr">
        <is>
          <t>—</t>
        </is>
      </c>
      <c r="I65" s="9" t="inlineStr">
        <is>
          <t>rou_new_leases_pct_base</t>
        </is>
      </c>
      <c r="J65" s="6" t="inlineStr">
        <is>
          <t>Override portafoglio lease</t>
        </is>
      </c>
    </row>
    <row r="66">
      <c r="A66" s="10" t="inlineStr">
        <is>
          <t>manual_tax_input</t>
        </is>
      </c>
      <c r="B66" s="10" t="inlineStr">
        <is>
          <t>M_MAN_008</t>
        </is>
      </c>
      <c r="C66" s="19" t="inlineStr">
        <is>
          <t>MANUAL</t>
        </is>
      </c>
      <c r="D66" s="8" t="inlineStr">
        <is>
          <t>Manual tax input</t>
        </is>
      </c>
      <c r="E66" s="8" t="inlineStr">
        <is>
          <t>amount[t]</t>
        </is>
      </c>
      <c r="F66" s="8" t="inlineStr">
        <is>
          <t>CIT regimi fiscali speciali</t>
        </is>
      </c>
      <c r="G66" s="8" t="inlineStr">
        <is>
          <t>simple</t>
        </is>
      </c>
      <c r="H66" s="10" t="inlineStr">
        <is>
          <t>—</t>
        </is>
      </c>
      <c r="I66" s="10" t="inlineStr">
        <is>
          <t>—</t>
        </is>
      </c>
      <c r="J66" s="8" t="inlineStr">
        <is>
          <t>Per regimi tax non-standard</t>
        </is>
      </c>
    </row>
    <row r="68" ht="22" customHeight="1">
      <c r="A68" s="3" t="inlineStr">
        <is>
          <t>Sezione B — Derived Rules (19 regole contabili identitarie)</t>
        </is>
      </c>
    </row>
    <row r="69" ht="32" customHeight="1">
      <c r="A69" s="4" t="inlineStr">
        <is>
          <t>derived_rule_id</t>
        </is>
      </c>
      <c r="B69" s="4" t="inlineStr">
        <is>
          <t>tech_code</t>
        </is>
      </c>
      <c r="C69" s="4" t="inlineStr">
        <is>
          <t>name_it</t>
        </is>
      </c>
      <c r="D69" s="4" t="inlineStr">
        <is>
          <t>formula</t>
        </is>
      </c>
      <c r="E69" s="4" t="inlineStr">
        <is>
          <t>applicato a</t>
        </is>
      </c>
      <c r="F69" s="4" t="inlineStr">
        <is>
          <t>fase</t>
        </is>
      </c>
      <c r="G69" s="4" t="inlineStr">
        <is>
          <t>note</t>
        </is>
      </c>
    </row>
    <row r="70">
      <c r="A70" s="9" t="inlineStr">
        <is>
          <t>da_mid_year_convention</t>
        </is>
      </c>
      <c r="B70" s="9" t="inlineStr">
        <is>
          <t>R_DRV_001</t>
        </is>
      </c>
      <c r="C70" s="6" t="inlineStr">
        <is>
          <t>D&amp;A mid-year convention</t>
        </is>
      </c>
      <c r="D70" s="6" t="inlineStr">
        <is>
          <t>-1 * max(0, (gross_open + gross_close)/2 - non_depreciable) / useful_life</t>
        </is>
      </c>
      <c r="E70" s="6" t="inlineStr">
        <is>
          <t>pl.da.ppe / intangibles / rou</t>
        </is>
      </c>
      <c r="F70" s="6" t="inlineStr">
        <is>
          <t>E2</t>
        </is>
      </c>
      <c r="G70" s="6" t="inlineStr">
        <is>
          <t>Mid-year semplificato; vintage = improvement</t>
        </is>
      </c>
    </row>
    <row r="71">
      <c r="A71" s="10" t="inlineStr">
        <is>
          <t>ifrs15_movement_from_sp</t>
        </is>
      </c>
      <c r="B71" s="10" t="inlineStr">
        <is>
          <t>R_DRV_002</t>
        </is>
      </c>
      <c r="C71" s="8" t="inlineStr">
        <is>
          <t>IFRS 15 movement da SP</t>
        </is>
      </c>
      <c r="D71" s="8" t="inlineStr">
        <is>
          <t>-(contract_liab[t]-contract_liab[t-1]) o +(contract_assets[t]-[t-1])</t>
        </is>
      </c>
      <c r="E71" s="8" t="inlineStr">
        <is>
          <t>pl.rev.adjustments.*</t>
        </is>
      </c>
      <c r="F71" s="8" t="inlineStr">
        <is>
          <t>E3.1</t>
        </is>
      </c>
      <c r="G71" s="8" t="inlineStr">
        <is>
          <t>IFRS 15 management approximation</t>
        </is>
      </c>
    </row>
    <row r="72">
      <c r="A72" s="9" t="inlineStr">
        <is>
          <t>nwc_change_for_cf</t>
        </is>
      </c>
      <c r="B72" s="9" t="inlineStr">
        <is>
          <t>R_DRV_003</t>
        </is>
      </c>
      <c r="C72" s="6" t="inlineStr">
        <is>
          <t>NWC change per CF</t>
        </is>
      </c>
      <c r="D72" s="6" t="inlineStr">
        <is>
          <t>-(bs.nwc.operating[t] - bs.nwc.operating[t-1])</t>
        </is>
      </c>
      <c r="E72" s="6" t="inlineStr">
        <is>
          <t>cf.operating.nwc_change</t>
        </is>
      </c>
      <c r="F72" s="6" t="inlineStr">
        <is>
          <t>E8</t>
        </is>
      </c>
      <c r="G72" s="6" t="inlineStr">
        <is>
          <t>Variazione NWC operativo</t>
        </is>
      </c>
    </row>
    <row r="73">
      <c r="A73" s="10" t="inlineStr">
        <is>
          <t>retained_earnings_identity</t>
        </is>
      </c>
      <c r="B73" s="10" t="inlineStr">
        <is>
          <t>R_DRV_004</t>
        </is>
      </c>
      <c r="C73" s="8" t="inlineStr">
        <is>
          <t>Identità retained earnings</t>
        </is>
      </c>
      <c r="D73" s="8" t="inlineStr">
        <is>
          <t>re_open + pl.net_income + dividends_paid</t>
        </is>
      </c>
      <c r="E73" s="8" t="inlineStr">
        <is>
          <t>bs.equity.retained_earnings.close</t>
        </is>
      </c>
      <c r="F73" s="8" t="inlineStr">
        <is>
          <t>E7</t>
        </is>
      </c>
      <c r="G73" s="8" t="inlineStr">
        <is>
          <t>dividends già negativo per convention</t>
        </is>
      </c>
    </row>
    <row r="74">
      <c r="A74" s="9" t="inlineStr">
        <is>
          <t>cash_identity_from_cf</t>
        </is>
      </c>
      <c r="B74" s="9" t="inlineStr">
        <is>
          <t>R_DRV_005</t>
        </is>
      </c>
      <c r="C74" s="6" t="inlineStr">
        <is>
          <t>Cash identity da CF</t>
        </is>
      </c>
      <c r="D74" s="6" t="inlineStr">
        <is>
          <t>cash[t-1] + cf.net_change_cash[t]</t>
        </is>
      </c>
      <c r="E74" s="6" t="inlineStr">
        <is>
          <t>bs.nfp.cash</t>
        </is>
      </c>
      <c r="F74" s="6" t="inlineStr">
        <is>
          <t>E8</t>
        </is>
      </c>
      <c r="G74" s="6" t="inlineStr">
        <is>
          <t>Identity di chiusura</t>
        </is>
      </c>
    </row>
    <row r="75">
      <c r="A75" s="10" t="inlineStr">
        <is>
          <t>interest_expense_avg_balance</t>
        </is>
      </c>
      <c r="B75" s="10" t="inlineStr">
        <is>
          <t>R_DRV_006</t>
        </is>
      </c>
      <c r="C75" s="8" t="inlineStr">
        <is>
          <t>Interest expense su balance medio</t>
        </is>
      </c>
      <c r="D75" s="8" t="inlineStr">
        <is>
          <t>-1 * abs(borrowings.balance_avg) * cost_of_debt</t>
        </is>
      </c>
      <c r="E75" s="8" t="inlineStr">
        <is>
          <t>pl.financial.interest_expense</t>
        </is>
      </c>
      <c r="F75" s="8" t="inlineStr">
        <is>
          <t>E4</t>
        </is>
      </c>
      <c r="G75" s="8" t="inlineStr">
        <is>
          <t>Tasso unico medio (cost_of_debt per facility = improvement)</t>
        </is>
      </c>
    </row>
    <row r="76">
      <c r="A76" s="9" t="inlineStr">
        <is>
          <t>lease_interest_avg_balance</t>
        </is>
      </c>
      <c r="B76" s="9" t="inlineStr">
        <is>
          <t>R_DRV_007</t>
        </is>
      </c>
      <c r="C76" s="6" t="inlineStr">
        <is>
          <t>Lease interest su balance medio</t>
        </is>
      </c>
      <c r="D76" s="6" t="inlineStr">
        <is>
          <t>-1 * abs(lease_liability.balance_avg) * lease_implicit_rate</t>
        </is>
      </c>
      <c r="E76" s="6" t="inlineStr">
        <is>
          <t>pl.financial.lease_interest</t>
        </is>
      </c>
      <c r="F76" s="6" t="inlineStr">
        <is>
          <t>E4</t>
        </is>
      </c>
      <c r="G76" s="6" t="inlineStr">
        <is>
          <t>Tasso unico medio per portafoglio</t>
        </is>
      </c>
    </row>
    <row r="77">
      <c r="A77" s="10" t="inlineStr">
        <is>
          <t>interest_income_cash_avg</t>
        </is>
      </c>
      <c r="B77" s="10" t="inlineStr">
        <is>
          <t>R_DRV_008</t>
        </is>
      </c>
      <c r="C77" s="8" t="inlineStr">
        <is>
          <t>Interest income su cash medio</t>
        </is>
      </c>
      <c r="D77" s="8" t="inlineStr">
        <is>
          <t>cash.balance_avg * cash_yield</t>
        </is>
      </c>
      <c r="E77" s="8" t="inlineStr">
        <is>
          <t>pl.financial.interest_income</t>
        </is>
      </c>
      <c r="F77" s="8" t="inlineStr">
        <is>
          <t>E4 (proxy) → E8 (check)</t>
        </is>
      </c>
      <c r="G77" s="8" t="inlineStr">
        <is>
          <t>Proxy cash[t-1], errore &lt;1% NI</t>
        </is>
      </c>
    </row>
    <row r="78">
      <c r="A78" s="9" t="inlineStr">
        <is>
          <t>tax_current_etr_simplified</t>
        </is>
      </c>
      <c r="B78" s="9" t="inlineStr">
        <is>
          <t>R_DRV_009</t>
        </is>
      </c>
      <c r="C78" s="6" t="inlineStr">
        <is>
          <t>Tax current ETR semplificato</t>
        </is>
      </c>
      <c r="D78" s="6" t="inlineStr">
        <is>
          <t>-1 * max(0, ebt) * etr</t>
        </is>
      </c>
      <c r="E78" s="6" t="inlineStr">
        <is>
          <t>pl.tax.current (modalità simplified, default)</t>
        </is>
      </c>
      <c r="F78" s="6" t="inlineStr">
        <is>
          <t>E7</t>
        </is>
      </c>
      <c r="G78" s="6" t="inlineStr">
        <is>
          <t>max(0, ebt) per evitare tax benefit automatico (critica 2.6 Doc 1)</t>
        </is>
      </c>
    </row>
    <row r="79">
      <c r="A79" s="10" t="inlineStr">
        <is>
          <t>balance_check</t>
        </is>
      </c>
      <c r="B79" s="10" t="inlineStr">
        <is>
          <t>R_DRV_010</t>
        </is>
      </c>
      <c r="C79" s="8" t="inlineStr">
        <is>
          <t>Balance check (quadratura)</t>
        </is>
      </c>
      <c r="D79" s="8" t="inlineStr">
        <is>
          <t>total_assets + total_liabilities - total_equity</t>
        </is>
      </c>
      <c r="E79" s="8" t="inlineStr">
        <is>
          <t>bs.balance_check (identità)</t>
        </is>
      </c>
      <c r="F79" s="8" t="inlineStr">
        <is>
          <t>E8</t>
        </is>
      </c>
      <c r="G79" s="8" t="inlineStr">
        <is>
          <t>Tolleranza: max(1.0, 0.0001 × abs(total_assets))</t>
        </is>
      </c>
    </row>
    <row r="80">
      <c r="A80" s="9" t="inlineStr">
        <is>
          <t>taxable_income_bridge</t>
        </is>
      </c>
      <c r="B80" s="9" t="inlineStr">
        <is>
          <t>R_DRV_011</t>
        </is>
      </c>
      <c r="C80" s="6" t="inlineStr">
        <is>
          <t>Taxable income bridge</t>
        </is>
      </c>
      <c r="D80" s="6" t="inlineStr">
        <is>
          <t>ebt + permanent_addbacks - permanent_deductions + temporary_differences</t>
        </is>
      </c>
      <c r="E80" s="6" t="inlineStr">
        <is>
          <t>taxable_income (interno modalità advanced)</t>
        </is>
      </c>
      <c r="F80" s="6" t="inlineStr">
        <is>
          <t>E7</t>
        </is>
      </c>
      <c r="G80" s="6" t="inlineStr">
        <is>
          <t>Catena tax advanced (estensione pilot v1.1)</t>
        </is>
      </c>
    </row>
    <row r="81">
      <c r="A81" s="10" t="inlineStr">
        <is>
          <t>nol_utilization</t>
        </is>
      </c>
      <c r="B81" s="10" t="inlineStr">
        <is>
          <t>R_DRV_012</t>
        </is>
      </c>
      <c r="C81" s="8" t="inlineStr">
        <is>
          <t>NOL utilization</t>
        </is>
      </c>
      <c r="D81" s="8" t="inlineStr">
        <is>
          <t>min(taxable_income, nol_carryforward[t-1] * utilization_limit)</t>
        </is>
      </c>
      <c r="E81" s="8" t="inlineStr">
        <is>
          <t>nol_used (interno)</t>
        </is>
      </c>
      <c r="F81" s="8" t="inlineStr">
        <is>
          <t>E7</t>
        </is>
      </c>
      <c r="G81" s="8" t="inlineStr">
        <is>
          <t>Utilization limit es. 80% Italia</t>
        </is>
      </c>
    </row>
    <row r="82">
      <c r="A82" s="9" t="inlineStr">
        <is>
          <t>current_tax_with_nol</t>
        </is>
      </c>
      <c r="B82" s="9" t="inlineStr">
        <is>
          <t>R_DRV_013</t>
        </is>
      </c>
      <c r="C82" s="6" t="inlineStr">
        <is>
          <t>Current tax con NOL</t>
        </is>
      </c>
      <c r="D82" s="6" t="inlineStr">
        <is>
          <t>-1 * max(0, taxable_income - nol_used) * etr</t>
        </is>
      </c>
      <c r="E82" s="6" t="inlineStr">
        <is>
          <t>pl.tax.current (modalità advanced)</t>
        </is>
      </c>
      <c r="F82" s="6" t="inlineStr">
        <is>
          <t>E7</t>
        </is>
      </c>
      <c r="G82" s="6" t="inlineStr">
        <is>
          <t>Catena tax advanced opzionale</t>
        </is>
      </c>
    </row>
    <row r="83">
      <c r="A83" s="10" t="inlineStr">
        <is>
          <t>gross_close_aggregation</t>
        </is>
      </c>
      <c r="B83" s="10" t="inlineStr">
        <is>
          <t>R_DRV_014</t>
        </is>
      </c>
      <c r="C83" s="8" t="inlineStr">
        <is>
          <t>Gross close aggregation</t>
        </is>
      </c>
      <c r="D83" s="8" t="inlineStr">
        <is>
          <t>gross_open + flussi_in - flussi_out (per famiglia asset)</t>
        </is>
      </c>
      <c r="E83" s="8" t="inlineStr">
        <is>
          <t>bs.fa.{family}.gross_close</t>
        </is>
      </c>
      <c r="F83" s="8" t="inlineStr">
        <is>
          <t>E2</t>
        </is>
      </c>
      <c r="G83" s="8" t="inlineStr">
        <is>
          <t>Roll-forward per ogni famiglia FA</t>
        </is>
      </c>
    </row>
    <row r="84">
      <c r="A84" s="9" t="inlineStr">
        <is>
          <t>acc_depr_close_aggregation</t>
        </is>
      </c>
      <c r="B84" s="9" t="inlineStr">
        <is>
          <t>R_DRV_015</t>
        </is>
      </c>
      <c r="C84" s="6" t="inlineStr">
        <is>
          <t>Acc.depr close aggregation</t>
        </is>
      </c>
      <c r="D84" s="6" t="inlineStr">
        <is>
          <t>acc_depr_open + pl.da.X - disposals_acc_depr - impairment_acc</t>
        </is>
      </c>
      <c r="E84" s="6" t="inlineStr">
        <is>
          <t>bs.fa.{family}.acc_depr_close</t>
        </is>
      </c>
      <c r="F84" s="6" t="inlineStr">
        <is>
          <t>E2</t>
        </is>
      </c>
      <c r="G84" s="6" t="inlineStr">
        <is>
          <t>Per famiglie con acc_depr separato</t>
        </is>
      </c>
    </row>
    <row r="85">
      <c r="A85" s="10" t="inlineStr">
        <is>
          <t>net_book_value</t>
        </is>
      </c>
      <c r="B85" s="10" t="inlineStr">
        <is>
          <t>R_DRV_016</t>
        </is>
      </c>
      <c r="C85" s="8" t="inlineStr">
        <is>
          <t>Net book value</t>
        </is>
      </c>
      <c r="D85" s="8" t="inlineStr">
        <is>
          <t>gross_close + acc_depr_close (acc_depr negativo)</t>
        </is>
      </c>
      <c r="E85" s="8" t="inlineStr">
        <is>
          <t>bs.fa.{family}.net_close</t>
        </is>
      </c>
      <c r="F85" s="8" t="inlineStr">
        <is>
          <t>E2</t>
        </is>
      </c>
      <c r="G85" s="8" t="inlineStr">
        <is>
          <t>NBV per ogni famiglia</t>
        </is>
      </c>
    </row>
    <row r="86">
      <c r="A86" s="9" t="inlineStr">
        <is>
          <t>subtotal_aggregation</t>
        </is>
      </c>
      <c r="B86" s="9" t="inlineStr">
        <is>
          <t>R_DRV_017</t>
        </is>
      </c>
      <c r="C86" s="6" t="inlineStr">
        <is>
          <t>Subtotal aggregation</t>
        </is>
      </c>
      <c r="D86" s="6" t="inlineStr">
        <is>
          <t>SUM(children con prefix matching)</t>
        </is>
      </c>
      <c r="E86" s="6" t="inlineStr">
        <is>
          <t>tutti i subtotali derived</t>
        </is>
      </c>
      <c r="F86" s="6" t="inlineStr">
        <is>
          <t>varie fasi</t>
        </is>
      </c>
      <c r="G86" s="6" t="inlineStr">
        <is>
          <t>gross_total, deductions_total, opex.total, ecc.</t>
        </is>
      </c>
    </row>
    <row r="87">
      <c r="A87" s="10" t="inlineStr">
        <is>
          <t>employee_benefits_interest_cost</t>
        </is>
      </c>
      <c r="B87" s="10" t="inlineStr">
        <is>
          <t>R_DRV_018</t>
        </is>
      </c>
      <c r="C87" s="8" t="inlineStr">
        <is>
          <t>EB interest cost</t>
        </is>
      </c>
      <c r="D87" s="8" t="inlineStr">
        <is>
          <t>abs(eb_balance_avg) * discount_rate (segno negativo, P&amp;L)</t>
        </is>
      </c>
      <c r="E87" s="8" t="inlineStr">
        <is>
          <t>bs.employee_benefits.interest_cost</t>
        </is>
      </c>
      <c r="F87" s="8" t="inlineStr">
        <is>
          <t>E5</t>
        </is>
      </c>
      <c r="G87" s="8" t="inlineStr">
        <is>
          <t>Sub-circolarità intra-fase con proxy</t>
        </is>
      </c>
    </row>
    <row r="88">
      <c r="A88" s="9" t="inlineStr">
        <is>
          <t>lease_liability_interest_accrued</t>
        </is>
      </c>
      <c r="B88" s="9" t="inlineStr">
        <is>
          <t>R_DRV_019</t>
        </is>
      </c>
      <c r="C88" s="6" t="inlineStr">
        <is>
          <t>Lease liability interest accrued</t>
        </is>
      </c>
      <c r="D88" s="6" t="inlineStr">
        <is>
          <t>abs(lease_liability_avg) * lease_implicit_rate (segno negativo)</t>
        </is>
      </c>
      <c r="E88" s="6" t="inlineStr">
        <is>
          <t>bs.nfp.lease_liability.interest_accrued</t>
        </is>
      </c>
      <c r="F88" s="6" t="inlineStr">
        <is>
          <t>E4</t>
        </is>
      </c>
      <c r="G88" s="6" t="inlineStr">
        <is>
          <t>Sub-circolarità intra-fase con proxy</t>
        </is>
      </c>
    </row>
    <row r="90" ht="22" customHeight="1">
      <c r="A90" s="3" t="inlineStr">
        <is>
          <t>Note operative</t>
        </is>
      </c>
    </row>
    <row r="91">
      <c r="A91" s="20" t="inlineStr">
        <is>
          <t>• 62 method_id + 19 derived_rule = 81 archetipi totali nel pilot v1.1</t>
        </is>
      </c>
    </row>
    <row r="92">
      <c r="A92" s="20" t="inlineStr">
        <is>
          <t>• Sistema ID 3 livelli: family_id (10 famiglie) / method_id (parlante) / technical_code (M_XXX_NNN univoco)</t>
        </is>
      </c>
    </row>
    <row r="93">
      <c r="A93" s="20" t="inlineStr">
        <is>
          <t>• Naming convention method_id: lowercase_underscore parlante, no abbreviazioni, no versioni numeriche</t>
        </is>
      </c>
    </row>
    <row r="94">
      <c r="A94" s="20" t="inlineStr">
        <is>
          <t>• Ogni metodo dichiara: formula_expression Python evaluabile, inputs (consuntivo/driver/exogenous/assumptions), applicable_voices, complexity, output_sign, fallback_method_id</t>
        </is>
      </c>
    </row>
    <row r="95">
      <c r="A95" s="20" t="inlineStr">
        <is>
          <t>• Le derived_rule (R_DRV_*) NON sono metodi di proiezione ma identità contabili: l'utente non sceglie tra questi, sono applicati automaticamente dall'engine</t>
        </is>
      </c>
    </row>
    <row r="96">
      <c r="A96" s="20" t="inlineStr">
        <is>
          <t>• Estensioni pilot v1.1 dal Doc GPT integrate: arr_bridge (M_BRG_002), term_loan_amortization_annuity (M_DBT_002), catena NOL (R_DRV_011-013)</t>
        </is>
      </c>
    </row>
    <row r="97">
      <c r="A97" s="20" t="inlineStr">
        <is>
          <t>• Default condizionale: pl.rev.gross.subscription ha default historical_avg_growth nel pilot generic, default arr_bridge se sector_pack=saas attivo</t>
        </is>
      </c>
    </row>
  </sheetData>
  <mergeCells count="11">
    <mergeCell ref="A1:J1"/>
    <mergeCell ref="A94:J94"/>
    <mergeCell ref="A93:J93"/>
    <mergeCell ref="A97:J97"/>
    <mergeCell ref="A3:J3"/>
    <mergeCell ref="A92:J92"/>
    <mergeCell ref="A91:J91"/>
    <mergeCell ref="A95:J95"/>
    <mergeCell ref="A96:J96"/>
    <mergeCell ref="A90:J90"/>
    <mergeCell ref="A68:J6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17" customWidth="1" min="3" max="3"/>
    <col width="11" customWidth="1" min="4" max="4"/>
    <col width="11" customWidth="1" min="5" max="5"/>
    <col width="35" customWidth="1" min="6" max="6"/>
    <col width="9" customWidth="1" min="7" max="7"/>
    <col width="30" customWidth="1" min="8" max="8"/>
    <col width="22" customWidth="1" min="9" max="9"/>
    <col width="35" customWidth="1" min="10" max="10"/>
  </cols>
  <sheetData>
    <row r="1" ht="28" customHeight="1">
      <c r="A1" s="1" t="inlineStr">
        <is>
          <t>Voice Registry — 207 voci modello (P&amp;L 69 + SP 106 + CF 32)</t>
        </is>
      </c>
    </row>
    <row r="3" ht="22" customHeight="1">
      <c r="A3" s="3" t="inlineStr">
        <is>
          <t>207 voci totali: 94 driver + 93 derived + 12 reference + 8 placeholder</t>
        </is>
      </c>
    </row>
    <row r="4" ht="32" customHeight="1">
      <c r="A4" s="4" t="inlineStr">
        <is>
          <t>voice_id</t>
        </is>
      </c>
      <c r="B4" s="4" t="inlineStr">
        <is>
          <t>statement</t>
        </is>
      </c>
      <c r="C4" s="4" t="inlineStr">
        <is>
          <t>section</t>
        </is>
      </c>
      <c r="D4" s="4" t="inlineStr">
        <is>
          <t>nature</t>
        </is>
      </c>
      <c r="E4" s="4" t="inlineStr">
        <is>
          <t>sign</t>
        </is>
      </c>
      <c r="F4" s="4" t="inlineStr">
        <is>
          <t>default_method</t>
        </is>
      </c>
      <c r="G4" s="4" t="inlineStr">
        <is>
          <t>calc_phase</t>
        </is>
      </c>
      <c r="H4" s="4" t="inlineStr">
        <is>
          <t>denominator/flow voice</t>
        </is>
      </c>
      <c r="I4" s="4" t="inlineStr">
        <is>
          <t>recurrence</t>
        </is>
      </c>
      <c r="J4" s="4" t="inlineStr">
        <is>
          <t>note</t>
        </is>
      </c>
    </row>
    <row r="5">
      <c r="A5" s="9" t="inlineStr">
        <is>
          <t>pl.rev.gross.product_sales</t>
        </is>
      </c>
      <c r="B5" s="6" t="inlineStr">
        <is>
          <t>PL</t>
        </is>
      </c>
      <c r="C5" s="6" t="inlineStr">
        <is>
          <t>rev.gross</t>
        </is>
      </c>
      <c r="D5" s="6" t="inlineStr">
        <is>
          <t>driver</t>
        </is>
      </c>
      <c r="E5" s="6" t="inlineStr">
        <is>
          <t>positive</t>
        </is>
      </c>
      <c r="F5" s="9" t="inlineStr">
        <is>
          <t>volume_price</t>
        </is>
      </c>
      <c r="G5" s="6" t="inlineStr">
        <is>
          <t>E1</t>
        </is>
      </c>
      <c r="H5" s="9" t="inlineStr">
        <is>
          <t>—</t>
        </is>
      </c>
      <c r="I5" s="6" t="inlineStr">
        <is>
          <t>recurring</t>
        </is>
      </c>
      <c r="J5" s="6" t="inlineStr">
        <is>
          <t>Default industrial</t>
        </is>
      </c>
    </row>
    <row r="6">
      <c r="A6" s="10" t="inlineStr">
        <is>
          <t>pl.rev.gross.service_revenue</t>
        </is>
      </c>
      <c r="B6" s="8" t="inlineStr">
        <is>
          <t>PL</t>
        </is>
      </c>
      <c r="C6" s="8" t="inlineStr">
        <is>
          <t>rev.gross</t>
        </is>
      </c>
      <c r="D6" s="8" t="inlineStr">
        <is>
          <t>driver</t>
        </is>
      </c>
      <c r="E6" s="8" t="inlineStr">
        <is>
          <t>positive</t>
        </is>
      </c>
      <c r="F6" s="10" t="inlineStr">
        <is>
          <t>headcount_unit_cost</t>
        </is>
      </c>
      <c r="G6" s="8" t="inlineStr">
        <is>
          <t>E1</t>
        </is>
      </c>
      <c r="H6" s="10" t="inlineStr">
        <is>
          <t>—</t>
        </is>
      </c>
      <c r="I6" s="8" t="inlineStr">
        <is>
          <t>recurring</t>
        </is>
      </c>
      <c r="J6" s="8" t="inlineStr">
        <is>
          <t>Default services</t>
        </is>
      </c>
    </row>
    <row r="7">
      <c r="A7" s="9" t="inlineStr">
        <is>
          <t>pl.rev.gross.subscription</t>
        </is>
      </c>
      <c r="B7" s="6" t="inlineStr">
        <is>
          <t>PL</t>
        </is>
      </c>
      <c r="C7" s="6" t="inlineStr">
        <is>
          <t>rev.gross</t>
        </is>
      </c>
      <c r="D7" s="6" t="inlineStr">
        <is>
          <t>driver</t>
        </is>
      </c>
      <c r="E7" s="6" t="inlineStr">
        <is>
          <t>positive</t>
        </is>
      </c>
      <c r="F7" s="9" t="inlineStr">
        <is>
          <t>historical_avg_growth</t>
        </is>
      </c>
      <c r="G7" s="6" t="inlineStr">
        <is>
          <t>E1</t>
        </is>
      </c>
      <c r="H7" s="9" t="inlineStr">
        <is>
          <t>—</t>
        </is>
      </c>
      <c r="I7" s="6" t="inlineStr">
        <is>
          <t>recurring</t>
        </is>
      </c>
      <c r="J7" s="6" t="inlineStr">
        <is>
          <t>Default condizionale: arr_bridge se sector=saas</t>
        </is>
      </c>
    </row>
    <row r="8">
      <c r="A8" s="10" t="inlineStr">
        <is>
          <t>pl.rev.gross.license</t>
        </is>
      </c>
      <c r="B8" s="8" t="inlineStr">
        <is>
          <t>PL</t>
        </is>
      </c>
      <c r="C8" s="8" t="inlineStr">
        <is>
          <t>rev.gross</t>
        </is>
      </c>
      <c r="D8" s="8" t="inlineStr">
        <is>
          <t>driver</t>
        </is>
      </c>
      <c r="E8" s="8" t="inlineStr">
        <is>
          <t>positive</t>
        </is>
      </c>
      <c r="F8" s="10" t="inlineStr">
        <is>
          <t>historical_avg_growth</t>
        </is>
      </c>
      <c r="G8" s="8" t="inlineStr">
        <is>
          <t>E1</t>
        </is>
      </c>
      <c r="H8" s="10" t="inlineStr">
        <is>
          <t>—</t>
        </is>
      </c>
      <c r="I8" s="8" t="inlineStr">
        <is>
          <t>recurring</t>
        </is>
      </c>
      <c r="J8" s="8" t="inlineStr">
        <is>
          <t>Default cambiato da Z.1 (critica 3.5 Doc 1)</t>
        </is>
      </c>
    </row>
    <row r="9">
      <c r="A9" s="9" t="inlineStr">
        <is>
          <t>pl.rev.gross.usage_based</t>
        </is>
      </c>
      <c r="B9" s="6" t="inlineStr">
        <is>
          <t>PL</t>
        </is>
      </c>
      <c r="C9" s="6" t="inlineStr">
        <is>
          <t>rev.gross</t>
        </is>
      </c>
      <c r="D9" s="6" t="inlineStr">
        <is>
          <t>driver</t>
        </is>
      </c>
      <c r="E9" s="6" t="inlineStr">
        <is>
          <t>positive</t>
        </is>
      </c>
      <c r="F9" s="9" t="inlineStr">
        <is>
          <t>volume_price</t>
        </is>
      </c>
      <c r="G9" s="6" t="inlineStr">
        <is>
          <t>E1</t>
        </is>
      </c>
      <c r="H9" s="9" t="inlineStr">
        <is>
          <t>—</t>
        </is>
      </c>
      <c r="I9" s="6" t="inlineStr">
        <is>
          <t>recurring</t>
        </is>
      </c>
      <c r="J9" s="6" t="inlineStr"/>
    </row>
    <row r="10">
      <c r="A10" s="10" t="inlineStr">
        <is>
          <t>pl.rev.gross.rental</t>
        </is>
      </c>
      <c r="B10" s="8" t="inlineStr">
        <is>
          <t>PL</t>
        </is>
      </c>
      <c r="C10" s="8" t="inlineStr">
        <is>
          <t>rev.gross</t>
        </is>
      </c>
      <c r="D10" s="8" t="inlineStr">
        <is>
          <t>driver</t>
        </is>
      </c>
      <c r="E10" s="8" t="inlineStr">
        <is>
          <t>positive</t>
        </is>
      </c>
      <c r="F10" s="10" t="inlineStr">
        <is>
          <t>capacity_utilization_price</t>
        </is>
      </c>
      <c r="G10" s="8" t="inlineStr">
        <is>
          <t>E1</t>
        </is>
      </c>
      <c r="H10" s="10" t="inlineStr">
        <is>
          <t>—</t>
        </is>
      </c>
      <c r="I10" s="8" t="inlineStr">
        <is>
          <t>recurring</t>
        </is>
      </c>
      <c r="J10" s="8" t="inlineStr">
        <is>
          <t>Default real_estate</t>
        </is>
      </c>
    </row>
    <row r="11">
      <c r="A11" s="9" t="inlineStr">
        <is>
          <t>pl.rev.gross.project_contract</t>
        </is>
      </c>
      <c r="B11" s="6" t="inlineStr">
        <is>
          <t>PL</t>
        </is>
      </c>
      <c r="C11" s="6" t="inlineStr">
        <is>
          <t>rev.gross</t>
        </is>
      </c>
      <c r="D11" s="6" t="inlineStr">
        <is>
          <t>driver</t>
        </is>
      </c>
      <c r="E11" s="6" t="inlineStr">
        <is>
          <t>positive</t>
        </is>
      </c>
      <c r="F11" s="9" t="inlineStr">
        <is>
          <t>backlog_conversion</t>
        </is>
      </c>
      <c r="G11" s="6" t="inlineStr">
        <is>
          <t>E1</t>
        </is>
      </c>
      <c r="H11" s="9" t="inlineStr">
        <is>
          <t>—</t>
        </is>
      </c>
      <c r="I11" s="6" t="inlineStr">
        <is>
          <t>recurring</t>
        </is>
      </c>
      <c r="J11" s="6" t="inlineStr"/>
    </row>
    <row r="12">
      <c r="A12" s="10" t="inlineStr">
        <is>
          <t>pl.rev.gross.energy_production</t>
        </is>
      </c>
      <c r="B12" s="8" t="inlineStr">
        <is>
          <t>PL</t>
        </is>
      </c>
      <c r="C12" s="8" t="inlineStr">
        <is>
          <t>rev.gross</t>
        </is>
      </c>
      <c r="D12" s="8" t="inlineStr">
        <is>
          <t>driver</t>
        </is>
      </c>
      <c r="E12" s="8" t="inlineStr">
        <is>
          <t>positive</t>
        </is>
      </c>
      <c r="F12" s="10" t="inlineStr">
        <is>
          <t>capacity_utilization_price</t>
        </is>
      </c>
      <c r="G12" s="8" t="inlineStr">
        <is>
          <t>E1</t>
        </is>
      </c>
      <c r="H12" s="10" t="inlineStr">
        <is>
          <t>—</t>
        </is>
      </c>
      <c r="I12" s="8" t="inlineStr">
        <is>
          <t>recurring</t>
        </is>
      </c>
      <c r="J12" s="8" t="inlineStr">
        <is>
          <t>Energy out of scope pilot</t>
        </is>
      </c>
    </row>
    <row r="13">
      <c r="A13" s="9" t="inlineStr">
        <is>
          <t>pl.rev.gross.other</t>
        </is>
      </c>
      <c r="B13" s="6" t="inlineStr">
        <is>
          <t>PL</t>
        </is>
      </c>
      <c r="C13" s="6" t="inlineStr">
        <is>
          <t>rev.gross</t>
        </is>
      </c>
      <c r="D13" s="6" t="inlineStr">
        <is>
          <t>driver</t>
        </is>
      </c>
      <c r="E13" s="6" t="inlineStr">
        <is>
          <t>positive</t>
        </is>
      </c>
      <c r="F13" s="9" t="inlineStr">
        <is>
          <t>flat</t>
        </is>
      </c>
      <c r="G13" s="6" t="inlineStr">
        <is>
          <t>E1</t>
        </is>
      </c>
      <c r="H13" s="9" t="inlineStr">
        <is>
          <t>—</t>
        </is>
      </c>
      <c r="I13" s="6" t="inlineStr">
        <is>
          <t>recurring</t>
        </is>
      </c>
      <c r="J13" s="6" t="inlineStr"/>
    </row>
    <row r="14">
      <c r="A14" s="10" t="inlineStr">
        <is>
          <t>pl.rev.gross.custom_&lt;n&gt;</t>
        </is>
      </c>
      <c r="B14" s="8" t="inlineStr">
        <is>
          <t>PL</t>
        </is>
      </c>
      <c r="C14" s="8" t="inlineStr">
        <is>
          <t>rev.gross</t>
        </is>
      </c>
      <c r="D14" s="8" t="inlineStr">
        <is>
          <t>driver (slot)</t>
        </is>
      </c>
      <c r="E14" s="8" t="inlineStr">
        <is>
          <t>positive</t>
        </is>
      </c>
      <c r="F14" s="10" t="inlineStr">
        <is>
          <t>(utente sceglie)</t>
        </is>
      </c>
      <c r="G14" s="8" t="inlineStr">
        <is>
          <t>E1</t>
        </is>
      </c>
      <c r="H14" s="10" t="inlineStr">
        <is>
          <t>—</t>
        </is>
      </c>
      <c r="I14" s="8" t="inlineStr">
        <is>
          <t>recurring</t>
        </is>
      </c>
      <c r="J14" s="8" t="inlineStr">
        <is>
          <t>Slot user-defined</t>
        </is>
      </c>
    </row>
    <row r="15">
      <c r="A15" s="9" t="inlineStr">
        <is>
          <t>pl.rev.gross_total</t>
        </is>
      </c>
      <c r="B15" s="6" t="inlineStr">
        <is>
          <t>PL</t>
        </is>
      </c>
      <c r="C15" s="6" t="inlineStr">
        <is>
          <t>rev.gross</t>
        </is>
      </c>
      <c r="D15" s="6" t="inlineStr">
        <is>
          <t>derived</t>
        </is>
      </c>
      <c r="E15" s="6" t="inlineStr">
        <is>
          <t>positive</t>
        </is>
      </c>
      <c r="F15" s="9" t="inlineStr">
        <is>
          <t>subtotal_aggregation</t>
        </is>
      </c>
      <c r="G15" s="6" t="inlineStr">
        <is>
          <t>E1</t>
        </is>
      </c>
      <c r="H15" s="9" t="inlineStr">
        <is>
          <t>—</t>
        </is>
      </c>
      <c r="I15" s="6" t="inlineStr">
        <is>
          <t>—</t>
        </is>
      </c>
      <c r="J15" s="6" t="inlineStr">
        <is>
          <t>SUM gross.*</t>
        </is>
      </c>
    </row>
    <row r="16">
      <c r="A16" s="10" t="inlineStr">
        <is>
          <t>pl.rev.deductions.discounts</t>
        </is>
      </c>
      <c r="B16" s="8" t="inlineStr">
        <is>
          <t>PL</t>
        </is>
      </c>
      <c r="C16" s="8" t="inlineStr">
        <is>
          <t>rev.deductions</t>
        </is>
      </c>
      <c r="D16" s="8" t="inlineStr">
        <is>
          <t>driver</t>
        </is>
      </c>
      <c r="E16" s="8" t="inlineStr">
        <is>
          <t>negative</t>
        </is>
      </c>
      <c r="F16" s="10" t="inlineStr">
        <is>
          <t>pct_gross_revenue</t>
        </is>
      </c>
      <c r="G16" s="8" t="inlineStr">
        <is>
          <t>E1</t>
        </is>
      </c>
      <c r="H16" s="10" t="inlineStr">
        <is>
          <t>pl.rev.gross_total</t>
        </is>
      </c>
      <c r="I16" s="8" t="inlineStr">
        <is>
          <t>recurring</t>
        </is>
      </c>
      <c r="J16" s="8" t="inlineStr"/>
    </row>
    <row r="17">
      <c r="A17" s="9" t="inlineStr">
        <is>
          <t>pl.rev.deductions.rebates</t>
        </is>
      </c>
      <c r="B17" s="6" t="inlineStr">
        <is>
          <t>PL</t>
        </is>
      </c>
      <c r="C17" s="6" t="inlineStr">
        <is>
          <t>rev.deductions</t>
        </is>
      </c>
      <c r="D17" s="6" t="inlineStr">
        <is>
          <t>driver</t>
        </is>
      </c>
      <c r="E17" s="6" t="inlineStr">
        <is>
          <t>negative</t>
        </is>
      </c>
      <c r="F17" s="9" t="inlineStr">
        <is>
          <t>pct_gross_revenue</t>
        </is>
      </c>
      <c r="G17" s="6" t="inlineStr">
        <is>
          <t>E1</t>
        </is>
      </c>
      <c r="H17" s="9" t="inlineStr">
        <is>
          <t>pl.rev.gross_total</t>
        </is>
      </c>
      <c r="I17" s="6" t="inlineStr">
        <is>
          <t>recurring</t>
        </is>
      </c>
      <c r="J17" s="6" t="inlineStr"/>
    </row>
    <row r="18">
      <c r="A18" s="10" t="inlineStr">
        <is>
          <t>pl.rev.deductions.returns</t>
        </is>
      </c>
      <c r="B18" s="8" t="inlineStr">
        <is>
          <t>PL</t>
        </is>
      </c>
      <c r="C18" s="8" t="inlineStr">
        <is>
          <t>rev.deductions</t>
        </is>
      </c>
      <c r="D18" s="8" t="inlineStr">
        <is>
          <t>driver</t>
        </is>
      </c>
      <c r="E18" s="8" t="inlineStr">
        <is>
          <t>negative</t>
        </is>
      </c>
      <c r="F18" s="10" t="inlineStr">
        <is>
          <t>pct_gross_revenue</t>
        </is>
      </c>
      <c r="G18" s="8" t="inlineStr">
        <is>
          <t>E1</t>
        </is>
      </c>
      <c r="H18" s="10" t="inlineStr">
        <is>
          <t>pl.rev.gross_total</t>
        </is>
      </c>
      <c r="I18" s="8" t="inlineStr">
        <is>
          <t>recurring</t>
        </is>
      </c>
      <c r="J18" s="8" t="inlineStr">
        <is>
          <t>Significant in retail</t>
        </is>
      </c>
    </row>
    <row r="19">
      <c r="A19" s="9" t="inlineStr">
        <is>
          <t>pl.rev.deductions.trade_promo</t>
        </is>
      </c>
      <c r="B19" s="6" t="inlineStr">
        <is>
          <t>PL</t>
        </is>
      </c>
      <c r="C19" s="6" t="inlineStr">
        <is>
          <t>rev.deductions</t>
        </is>
      </c>
      <c r="D19" s="6" t="inlineStr">
        <is>
          <t>driver</t>
        </is>
      </c>
      <c r="E19" s="6" t="inlineStr">
        <is>
          <t>negative</t>
        </is>
      </c>
      <c r="F19" s="9" t="inlineStr">
        <is>
          <t>pct_gross_revenue</t>
        </is>
      </c>
      <c r="G19" s="6" t="inlineStr">
        <is>
          <t>E1</t>
        </is>
      </c>
      <c r="H19" s="9" t="inlineStr">
        <is>
          <t>pl.rev.gross_total</t>
        </is>
      </c>
      <c r="I19" s="6" t="inlineStr">
        <is>
          <t>recurring</t>
        </is>
      </c>
      <c r="J19" s="6" t="inlineStr"/>
    </row>
    <row r="20">
      <c r="A20" s="10" t="inlineStr">
        <is>
          <t>pl.rev.deductions_total</t>
        </is>
      </c>
      <c r="B20" s="8" t="inlineStr">
        <is>
          <t>PL</t>
        </is>
      </c>
      <c r="C20" s="8" t="inlineStr">
        <is>
          <t>rev.deductions</t>
        </is>
      </c>
      <c r="D20" s="8" t="inlineStr">
        <is>
          <t>derived</t>
        </is>
      </c>
      <c r="E20" s="8" t="inlineStr">
        <is>
          <t>negative</t>
        </is>
      </c>
      <c r="F20" s="10" t="inlineStr">
        <is>
          <t>subtotal_aggregation</t>
        </is>
      </c>
      <c r="G20" s="8" t="inlineStr">
        <is>
          <t>E1</t>
        </is>
      </c>
      <c r="H20" s="10" t="inlineStr">
        <is>
          <t>—</t>
        </is>
      </c>
      <c r="I20" s="8" t="inlineStr">
        <is>
          <t>—</t>
        </is>
      </c>
      <c r="J20" s="8" t="inlineStr">
        <is>
          <t>SUM deductions.*</t>
        </is>
      </c>
    </row>
    <row r="21">
      <c r="A21" s="9" t="inlineStr">
        <is>
          <t>pl.rev.adjustments.deferred_movement</t>
        </is>
      </c>
      <c r="B21" s="6" t="inlineStr">
        <is>
          <t>PL</t>
        </is>
      </c>
      <c r="C21" s="6" t="inlineStr">
        <is>
          <t>rev.adjustments</t>
        </is>
      </c>
      <c r="D21" s="6" t="inlineStr">
        <is>
          <t>derived</t>
        </is>
      </c>
      <c r="E21" s="6" t="inlineStr">
        <is>
          <t>signed_either</t>
        </is>
      </c>
      <c r="F21" s="9" t="inlineStr">
        <is>
          <t>ifrs15_movement_from_sp</t>
        </is>
      </c>
      <c r="G21" s="6" t="inlineStr">
        <is>
          <t>E3.1</t>
        </is>
      </c>
      <c r="H21" s="9" t="inlineStr">
        <is>
          <t>bs.nwc.contract_liabilities</t>
        </is>
      </c>
      <c r="I21" s="6" t="inlineStr">
        <is>
          <t>recurring</t>
        </is>
      </c>
      <c r="J21" s="6" t="inlineStr">
        <is>
          <t>IFRS 15 da contract_liabilities</t>
        </is>
      </c>
    </row>
    <row r="22">
      <c r="A22" s="10" t="inlineStr">
        <is>
          <t>pl.rev.adjustments.contract_asset_movement</t>
        </is>
      </c>
      <c r="B22" s="8" t="inlineStr">
        <is>
          <t>PL</t>
        </is>
      </c>
      <c r="C22" s="8" t="inlineStr">
        <is>
          <t>rev.adjustments</t>
        </is>
      </c>
      <c r="D22" s="8" t="inlineStr">
        <is>
          <t>derived</t>
        </is>
      </c>
      <c r="E22" s="8" t="inlineStr">
        <is>
          <t>signed_either</t>
        </is>
      </c>
      <c r="F22" s="10" t="inlineStr">
        <is>
          <t>ifrs15_movement_from_sp</t>
        </is>
      </c>
      <c r="G22" s="8" t="inlineStr">
        <is>
          <t>E3.1</t>
        </is>
      </c>
      <c r="H22" s="10" t="inlineStr">
        <is>
          <t>bs.nwc.contract_assets</t>
        </is>
      </c>
      <c r="I22" s="8" t="inlineStr">
        <is>
          <t>recurring</t>
        </is>
      </c>
      <c r="J22" s="8" t="inlineStr">
        <is>
          <t>IFRS 15 da contract_assets</t>
        </is>
      </c>
    </row>
    <row r="23">
      <c r="A23" s="9" t="inlineStr">
        <is>
          <t>pl.rev.adjustments_total</t>
        </is>
      </c>
      <c r="B23" s="6" t="inlineStr">
        <is>
          <t>PL</t>
        </is>
      </c>
      <c r="C23" s="6" t="inlineStr">
        <is>
          <t>rev.adjustments</t>
        </is>
      </c>
      <c r="D23" s="6" t="inlineStr">
        <is>
          <t>derived</t>
        </is>
      </c>
      <c r="E23" s="6" t="inlineStr">
        <is>
          <t>signed_either</t>
        </is>
      </c>
      <c r="F23" s="9" t="inlineStr">
        <is>
          <t>subtotal_aggregation</t>
        </is>
      </c>
      <c r="G23" s="6" t="inlineStr">
        <is>
          <t>E3.1</t>
        </is>
      </c>
      <c r="H23" s="9" t="inlineStr">
        <is>
          <t>—</t>
        </is>
      </c>
      <c r="I23" s="6" t="inlineStr">
        <is>
          <t>—</t>
        </is>
      </c>
      <c r="J23" s="6" t="inlineStr"/>
    </row>
    <row r="24">
      <c r="A24" s="10" t="inlineStr">
        <is>
          <t>pl.rev.other_op_income.recurring</t>
        </is>
      </c>
      <c r="B24" s="8" t="inlineStr">
        <is>
          <t>PL</t>
        </is>
      </c>
      <c r="C24" s="8" t="inlineStr">
        <is>
          <t>rev.other_op_income</t>
        </is>
      </c>
      <c r="D24" s="8" t="inlineStr">
        <is>
          <t>driver</t>
        </is>
      </c>
      <c r="E24" s="8" t="inlineStr">
        <is>
          <t>positive</t>
        </is>
      </c>
      <c r="F24" s="10" t="inlineStr">
        <is>
          <t>historical_avg_growth</t>
        </is>
      </c>
      <c r="G24" s="8" t="inlineStr">
        <is>
          <t>E1</t>
        </is>
      </c>
      <c r="H24" s="10" t="inlineStr">
        <is>
          <t>—</t>
        </is>
      </c>
      <c r="I24" s="8" t="inlineStr">
        <is>
          <t>recurring</t>
        </is>
      </c>
      <c r="J24" s="8" t="inlineStr"/>
    </row>
    <row r="25">
      <c r="A25" s="9" t="inlineStr">
        <is>
          <t>pl.rev.other_op_income.non_recurring</t>
        </is>
      </c>
      <c r="B25" s="6" t="inlineStr">
        <is>
          <t>PL</t>
        </is>
      </c>
      <c r="C25" s="6" t="inlineStr">
        <is>
          <t>rev.other_op_income</t>
        </is>
      </c>
      <c r="D25" s="6" t="inlineStr">
        <is>
          <t>driver</t>
        </is>
      </c>
      <c r="E25" s="6" t="inlineStr">
        <is>
          <t>positive</t>
        </is>
      </c>
      <c r="F25" s="9" t="inlineStr">
        <is>
          <t>manual_one_off</t>
        </is>
      </c>
      <c r="G25" s="6" t="inlineStr">
        <is>
          <t>E1</t>
        </is>
      </c>
      <c r="H25" s="9" t="inlineStr">
        <is>
          <t>—</t>
        </is>
      </c>
      <c r="I25" s="6" t="inlineStr">
        <is>
          <t>non_recurring_extraordinary</t>
        </is>
      </c>
      <c r="J25" s="6" t="inlineStr"/>
    </row>
    <row r="26">
      <c r="A26" s="10" t="inlineStr">
        <is>
          <t>pl.rev.other_op_income_total</t>
        </is>
      </c>
      <c r="B26" s="8" t="inlineStr">
        <is>
          <t>PL</t>
        </is>
      </c>
      <c r="C26" s="8" t="inlineStr">
        <is>
          <t>rev.other_op_income</t>
        </is>
      </c>
      <c r="D26" s="8" t="inlineStr">
        <is>
          <t>derived</t>
        </is>
      </c>
      <c r="E26" s="8" t="inlineStr">
        <is>
          <t>positive</t>
        </is>
      </c>
      <c r="F26" s="10" t="inlineStr">
        <is>
          <t>subtotal_aggregation</t>
        </is>
      </c>
      <c r="G26" s="8" t="inlineStr">
        <is>
          <t>E1</t>
        </is>
      </c>
      <c r="H26" s="10" t="inlineStr">
        <is>
          <t>—</t>
        </is>
      </c>
      <c r="I26" s="8" t="inlineStr">
        <is>
          <t>—</t>
        </is>
      </c>
      <c r="J26" s="8" t="inlineStr"/>
    </row>
    <row r="27">
      <c r="A27" s="9" t="inlineStr">
        <is>
          <t>pl.rev.net</t>
        </is>
      </c>
      <c r="B27" s="6" t="inlineStr">
        <is>
          <t>PL</t>
        </is>
      </c>
      <c r="C27" s="6" t="inlineStr">
        <is>
          <t>rev</t>
        </is>
      </c>
      <c r="D27" s="6" t="inlineStr">
        <is>
          <t>derived</t>
        </is>
      </c>
      <c r="E27" s="6" t="inlineStr">
        <is>
          <t>positive</t>
        </is>
      </c>
      <c r="F27" s="9" t="inlineStr">
        <is>
          <t>subtotal_aggregation</t>
        </is>
      </c>
      <c r="G27" s="6" t="inlineStr">
        <is>
          <t>E1 proxy / E3.1 final</t>
        </is>
      </c>
      <c r="H27" s="9" t="inlineStr">
        <is>
          <t>—</t>
        </is>
      </c>
      <c r="I27" s="6" t="inlineStr">
        <is>
          <t>—</t>
        </is>
      </c>
      <c r="J27" s="6" t="inlineStr">
        <is>
          <t>Doppia istanza: proxy E1, final E3.1</t>
        </is>
      </c>
    </row>
    <row r="28">
      <c r="A28" s="10" t="inlineStr">
        <is>
          <t>pl.cogs.materials.raw</t>
        </is>
      </c>
      <c r="B28" s="8" t="inlineStr">
        <is>
          <t>PL</t>
        </is>
      </c>
      <c r="C28" s="8" t="inlineStr">
        <is>
          <t>cogs</t>
        </is>
      </c>
      <c r="D28" s="8" t="inlineStr">
        <is>
          <t>driver</t>
        </is>
      </c>
      <c r="E28" s="8" t="inlineStr">
        <is>
          <t>negative</t>
        </is>
      </c>
      <c r="F28" s="10" t="inlineStr">
        <is>
          <t>pct_net_revenue</t>
        </is>
      </c>
      <c r="G28" s="8" t="inlineStr">
        <is>
          <t>E1</t>
        </is>
      </c>
      <c r="H28" s="10" t="inlineStr">
        <is>
          <t>pl.rev.net</t>
        </is>
      </c>
      <c r="I28" s="8" t="inlineStr">
        <is>
          <t>recurring</t>
        </is>
      </c>
      <c r="J28" s="8" t="inlineStr"/>
    </row>
    <row r="29">
      <c r="A29" s="9" t="inlineStr">
        <is>
          <t>pl.cogs.materials.purchased_finished</t>
        </is>
      </c>
      <c r="B29" s="6" t="inlineStr">
        <is>
          <t>PL</t>
        </is>
      </c>
      <c r="C29" s="6" t="inlineStr">
        <is>
          <t>cogs</t>
        </is>
      </c>
      <c r="D29" s="6" t="inlineStr">
        <is>
          <t>driver</t>
        </is>
      </c>
      <c r="E29" s="6" t="inlineStr">
        <is>
          <t>negative</t>
        </is>
      </c>
      <c r="F29" s="9" t="inlineStr">
        <is>
          <t>pct_net_revenue</t>
        </is>
      </c>
      <c r="G29" s="6" t="inlineStr">
        <is>
          <t>E1</t>
        </is>
      </c>
      <c r="H29" s="9" t="inlineStr">
        <is>
          <t>pl.rev.net</t>
        </is>
      </c>
      <c r="I29" s="6" t="inlineStr">
        <is>
          <t>recurring</t>
        </is>
      </c>
      <c r="J29" s="6" t="inlineStr">
        <is>
          <t>Default retail</t>
        </is>
      </c>
    </row>
    <row r="30">
      <c r="A30" s="10" t="inlineStr">
        <is>
          <t>pl.cogs.labour.direct</t>
        </is>
      </c>
      <c r="B30" s="8" t="inlineStr">
        <is>
          <t>PL</t>
        </is>
      </c>
      <c r="C30" s="8" t="inlineStr">
        <is>
          <t>cogs</t>
        </is>
      </c>
      <c r="D30" s="8" t="inlineStr">
        <is>
          <t>driver</t>
        </is>
      </c>
      <c r="E30" s="8" t="inlineStr">
        <is>
          <t>negative</t>
        </is>
      </c>
      <c r="F30" s="10" t="inlineStr">
        <is>
          <t>headcount_unit_cost</t>
        </is>
      </c>
      <c r="G30" s="8" t="inlineStr">
        <is>
          <t>E1</t>
        </is>
      </c>
      <c r="H30" s="10" t="inlineStr">
        <is>
          <t>—</t>
        </is>
      </c>
      <c r="I30" s="8" t="inlineStr">
        <is>
          <t>recurring</t>
        </is>
      </c>
      <c r="J30" s="8" t="inlineStr">
        <is>
          <t>Headcount funzione 1</t>
        </is>
      </c>
    </row>
    <row r="31">
      <c r="A31" s="9" t="inlineStr">
        <is>
          <t>pl.cogs.subcontracting</t>
        </is>
      </c>
      <c r="B31" s="6" t="inlineStr">
        <is>
          <t>PL</t>
        </is>
      </c>
      <c r="C31" s="6" t="inlineStr">
        <is>
          <t>cogs</t>
        </is>
      </c>
      <c r="D31" s="6" t="inlineStr">
        <is>
          <t>driver</t>
        </is>
      </c>
      <c r="E31" s="6" t="inlineStr">
        <is>
          <t>negative</t>
        </is>
      </c>
      <c r="F31" s="9" t="inlineStr">
        <is>
          <t>pct_net_revenue</t>
        </is>
      </c>
      <c r="G31" s="6" t="inlineStr">
        <is>
          <t>E1</t>
        </is>
      </c>
      <c r="H31" s="9" t="inlineStr">
        <is>
          <t>pl.rev.net</t>
        </is>
      </c>
      <c r="I31" s="6" t="inlineStr">
        <is>
          <t>recurring</t>
        </is>
      </c>
      <c r="J31" s="6" t="inlineStr">
        <is>
          <t>Cloud SaaS qui</t>
        </is>
      </c>
    </row>
    <row r="32">
      <c r="A32" s="10" t="inlineStr">
        <is>
          <t>pl.cogs.overhead.variable</t>
        </is>
      </c>
      <c r="B32" s="8" t="inlineStr">
        <is>
          <t>PL</t>
        </is>
      </c>
      <c r="C32" s="8" t="inlineStr">
        <is>
          <t>cogs</t>
        </is>
      </c>
      <c r="D32" s="8" t="inlineStr">
        <is>
          <t>driver</t>
        </is>
      </c>
      <c r="E32" s="8" t="inlineStr">
        <is>
          <t>negative</t>
        </is>
      </c>
      <c r="F32" s="10" t="inlineStr">
        <is>
          <t>pct_net_revenue</t>
        </is>
      </c>
      <c r="G32" s="8" t="inlineStr">
        <is>
          <t>E1</t>
        </is>
      </c>
      <c r="H32" s="10" t="inlineStr">
        <is>
          <t>pl.rev.net</t>
        </is>
      </c>
      <c r="I32" s="8" t="inlineStr">
        <is>
          <t>recurring</t>
        </is>
      </c>
      <c r="J32" s="8" t="inlineStr"/>
    </row>
    <row r="33">
      <c r="A33" s="9" t="inlineStr">
        <is>
          <t>pl.cogs.overhead.fixed</t>
        </is>
      </c>
      <c r="B33" s="6" t="inlineStr">
        <is>
          <t>PL</t>
        </is>
      </c>
      <c r="C33" s="6" t="inlineStr">
        <is>
          <t>cogs</t>
        </is>
      </c>
      <c r="D33" s="6" t="inlineStr">
        <is>
          <t>driver</t>
        </is>
      </c>
      <c r="E33" s="6" t="inlineStr">
        <is>
          <t>negative</t>
        </is>
      </c>
      <c r="F33" s="9" t="inlineStr">
        <is>
          <t>inflation_indexed_growth</t>
        </is>
      </c>
      <c r="G33" s="6" t="inlineStr">
        <is>
          <t>E1</t>
        </is>
      </c>
      <c r="H33" s="9" t="inlineStr">
        <is>
          <t>—</t>
        </is>
      </c>
      <c r="I33" s="6" t="inlineStr">
        <is>
          <t>recurring</t>
        </is>
      </c>
      <c r="J33" s="6" t="inlineStr"/>
    </row>
    <row r="34">
      <c r="A34" s="10" t="inlineStr">
        <is>
          <t>pl.cogs.inventory_writeoff</t>
        </is>
      </c>
      <c r="B34" s="8" t="inlineStr">
        <is>
          <t>PL</t>
        </is>
      </c>
      <c r="C34" s="8" t="inlineStr">
        <is>
          <t>cogs</t>
        </is>
      </c>
      <c r="D34" s="8" t="inlineStr">
        <is>
          <t>driver</t>
        </is>
      </c>
      <c r="E34" s="8" t="inlineStr">
        <is>
          <t>negative</t>
        </is>
      </c>
      <c r="F34" s="10" t="inlineStr">
        <is>
          <t>pct_inventory_writeoff</t>
        </is>
      </c>
      <c r="G34" s="8" t="inlineStr">
        <is>
          <t>E3</t>
        </is>
      </c>
      <c r="H34" s="10" t="inlineStr">
        <is>
          <t>bs.nwc.inventory.total</t>
        </is>
      </c>
      <c r="I34" s="8" t="inlineStr">
        <is>
          <t>recurring</t>
        </is>
      </c>
      <c r="J34" s="8" t="inlineStr">
        <is>
          <t>Phase E3 (dipende da inventory)</t>
        </is>
      </c>
    </row>
    <row r="35">
      <c r="A35" s="9" t="inlineStr">
        <is>
          <t>pl.cogs.logistics_inbound</t>
        </is>
      </c>
      <c r="B35" s="6" t="inlineStr">
        <is>
          <t>PL</t>
        </is>
      </c>
      <c r="C35" s="6" t="inlineStr">
        <is>
          <t>cogs</t>
        </is>
      </c>
      <c r="D35" s="6" t="inlineStr">
        <is>
          <t>driver</t>
        </is>
      </c>
      <c r="E35" s="6" t="inlineStr">
        <is>
          <t>negative</t>
        </is>
      </c>
      <c r="F35" s="9" t="inlineStr">
        <is>
          <t>pct_net_revenue</t>
        </is>
      </c>
      <c r="G35" s="6" t="inlineStr">
        <is>
          <t>E1</t>
        </is>
      </c>
      <c r="H35" s="9" t="inlineStr">
        <is>
          <t>pl.rev.net</t>
        </is>
      </c>
      <c r="I35" s="6" t="inlineStr">
        <is>
          <t>recurring</t>
        </is>
      </c>
      <c r="J35" s="6" t="inlineStr"/>
    </row>
    <row r="36">
      <c r="A36" s="10" t="inlineStr">
        <is>
          <t>pl.cogs.wip_capitalization</t>
        </is>
      </c>
      <c r="B36" s="8" t="inlineStr">
        <is>
          <t>PL</t>
        </is>
      </c>
      <c r="C36" s="8" t="inlineStr">
        <is>
          <t>cogs</t>
        </is>
      </c>
      <c r="D36" s="8" t="inlineStr">
        <is>
          <t>derived</t>
        </is>
      </c>
      <c r="E36" s="8" t="inlineStr">
        <is>
          <t>signed_either</t>
        </is>
      </c>
      <c r="F36" s="10" t="inlineStr">
        <is>
          <t>—</t>
        </is>
      </c>
      <c r="G36" s="8" t="inlineStr">
        <is>
          <t>E3</t>
        </is>
      </c>
      <c r="H36" s="10" t="inlineStr">
        <is>
          <t>bs.nwc.inventory.wip</t>
        </is>
      </c>
      <c r="I36" s="8" t="inlineStr">
        <is>
          <t>recurring</t>
        </is>
      </c>
      <c r="J36" s="8">
        <f> -Δ inventory.wip</f>
        <v/>
      </c>
    </row>
    <row r="37">
      <c r="A37" s="9" t="inlineStr">
        <is>
          <t>pl.cogs.total</t>
        </is>
      </c>
      <c r="B37" s="6" t="inlineStr">
        <is>
          <t>PL</t>
        </is>
      </c>
      <c r="C37" s="6" t="inlineStr">
        <is>
          <t>cogs</t>
        </is>
      </c>
      <c r="D37" s="6" t="inlineStr">
        <is>
          <t>derived</t>
        </is>
      </c>
      <c r="E37" s="6" t="inlineStr">
        <is>
          <t>negative</t>
        </is>
      </c>
      <c r="F37" s="9" t="inlineStr">
        <is>
          <t>subtotal_aggregation</t>
        </is>
      </c>
      <c r="G37" s="6" t="inlineStr">
        <is>
          <t>E1 proxy / E3 final</t>
        </is>
      </c>
      <c r="H37" s="9" t="inlineStr">
        <is>
          <t>—</t>
        </is>
      </c>
      <c r="I37" s="6" t="inlineStr">
        <is>
          <t>—</t>
        </is>
      </c>
      <c r="J37" s="6" t="inlineStr">
        <is>
          <t>Doppia istanza</t>
        </is>
      </c>
    </row>
    <row r="38">
      <c r="A38" s="10" t="inlineStr">
        <is>
          <t>pl.gross_profit</t>
        </is>
      </c>
      <c r="B38" s="8" t="inlineStr">
        <is>
          <t>PL</t>
        </is>
      </c>
      <c r="C38" s="8" t="inlineStr">
        <is>
          <t>gross_profit</t>
        </is>
      </c>
      <c r="D38" s="8" t="inlineStr">
        <is>
          <t>derived</t>
        </is>
      </c>
      <c r="E38" s="8" t="inlineStr">
        <is>
          <t>positive</t>
        </is>
      </c>
      <c r="F38" s="10" t="inlineStr">
        <is>
          <t>—</t>
        </is>
      </c>
      <c r="G38" s="8" t="inlineStr">
        <is>
          <t>E1 proxy / E3 final</t>
        </is>
      </c>
      <c r="H38" s="10" t="inlineStr">
        <is>
          <t>—</t>
        </is>
      </c>
      <c r="I38" s="8" t="inlineStr">
        <is>
          <t>—</t>
        </is>
      </c>
      <c r="J38" s="8">
        <f> rev.net + cogs.total</f>
        <v/>
      </c>
    </row>
    <row r="39">
      <c r="A39" s="9" t="inlineStr">
        <is>
          <t>pl.opex.sm.commissions</t>
        </is>
      </c>
      <c r="B39" s="6" t="inlineStr">
        <is>
          <t>PL</t>
        </is>
      </c>
      <c r="C39" s="6" t="inlineStr">
        <is>
          <t>opex</t>
        </is>
      </c>
      <c r="D39" s="6" t="inlineStr">
        <is>
          <t>driver</t>
        </is>
      </c>
      <c r="E39" s="6" t="inlineStr">
        <is>
          <t>negative</t>
        </is>
      </c>
      <c r="F39" s="9" t="inlineStr">
        <is>
          <t>pct_net_revenue</t>
        </is>
      </c>
      <c r="G39" s="6" t="inlineStr">
        <is>
          <t>E1</t>
        </is>
      </c>
      <c r="H39" s="9" t="inlineStr">
        <is>
          <t>pl.rev.net</t>
        </is>
      </c>
      <c r="I39" s="6" t="inlineStr">
        <is>
          <t>recurring</t>
        </is>
      </c>
      <c r="J39" s="6" t="inlineStr"/>
    </row>
    <row r="40">
      <c r="A40" s="10" t="inlineStr">
        <is>
          <t>pl.opex.sm.marketing_performance</t>
        </is>
      </c>
      <c r="B40" s="8" t="inlineStr">
        <is>
          <t>PL</t>
        </is>
      </c>
      <c r="C40" s="8" t="inlineStr">
        <is>
          <t>opex</t>
        </is>
      </c>
      <c r="D40" s="8" t="inlineStr">
        <is>
          <t>driver</t>
        </is>
      </c>
      <c r="E40" s="8" t="inlineStr">
        <is>
          <t>negative</t>
        </is>
      </c>
      <c r="F40" s="10" t="inlineStr">
        <is>
          <t>pct_net_revenue</t>
        </is>
      </c>
      <c r="G40" s="8" t="inlineStr">
        <is>
          <t>E1</t>
        </is>
      </c>
      <c r="H40" s="10" t="inlineStr">
        <is>
          <t>pl.rev.net</t>
        </is>
      </c>
      <c r="I40" s="8" t="inlineStr">
        <is>
          <t>recurring</t>
        </is>
      </c>
      <c r="J40" s="8" t="inlineStr"/>
    </row>
    <row r="41">
      <c r="A41" s="9" t="inlineStr">
        <is>
          <t>pl.opex.sm.marketing_brand</t>
        </is>
      </c>
      <c r="B41" s="6" t="inlineStr">
        <is>
          <t>PL</t>
        </is>
      </c>
      <c r="C41" s="6" t="inlineStr">
        <is>
          <t>opex</t>
        </is>
      </c>
      <c r="D41" s="6" t="inlineStr">
        <is>
          <t>driver</t>
        </is>
      </c>
      <c r="E41" s="6" t="inlineStr">
        <is>
          <t>negative</t>
        </is>
      </c>
      <c r="F41" s="9" t="inlineStr">
        <is>
          <t>historical_avg_growth</t>
        </is>
      </c>
      <c r="G41" s="6" t="inlineStr">
        <is>
          <t>E1</t>
        </is>
      </c>
      <c r="H41" s="9" t="inlineStr">
        <is>
          <t>—</t>
        </is>
      </c>
      <c r="I41" s="6" t="inlineStr">
        <is>
          <t>recurring</t>
        </is>
      </c>
      <c r="J41" s="6" t="inlineStr"/>
    </row>
    <row r="42">
      <c r="A42" s="10" t="inlineStr">
        <is>
          <t>pl.opex.sm.personnel</t>
        </is>
      </c>
      <c r="B42" s="8" t="inlineStr">
        <is>
          <t>PL</t>
        </is>
      </c>
      <c r="C42" s="8" t="inlineStr">
        <is>
          <t>opex</t>
        </is>
      </c>
      <c r="D42" s="8" t="inlineStr">
        <is>
          <t>driver</t>
        </is>
      </c>
      <c r="E42" s="8" t="inlineStr">
        <is>
          <t>negative</t>
        </is>
      </c>
      <c r="F42" s="10" t="inlineStr">
        <is>
          <t>headcount_unit_cost</t>
        </is>
      </c>
      <c r="G42" s="8" t="inlineStr">
        <is>
          <t>E1</t>
        </is>
      </c>
      <c r="H42" s="10" t="inlineStr">
        <is>
          <t>—</t>
        </is>
      </c>
      <c r="I42" s="8" t="inlineStr">
        <is>
          <t>recurring</t>
        </is>
      </c>
      <c r="J42" s="8" t="inlineStr">
        <is>
          <t>Headcount funzione 2</t>
        </is>
      </c>
    </row>
    <row r="43">
      <c r="A43" s="9" t="inlineStr">
        <is>
          <t>pl.opex.ga.personnel</t>
        </is>
      </c>
      <c r="B43" s="6" t="inlineStr">
        <is>
          <t>PL</t>
        </is>
      </c>
      <c r="C43" s="6" t="inlineStr">
        <is>
          <t>opex</t>
        </is>
      </c>
      <c r="D43" s="6" t="inlineStr">
        <is>
          <t>driver</t>
        </is>
      </c>
      <c r="E43" s="6" t="inlineStr">
        <is>
          <t>negative</t>
        </is>
      </c>
      <c r="F43" s="9" t="inlineStr">
        <is>
          <t>headcount_unit_cost</t>
        </is>
      </c>
      <c r="G43" s="6" t="inlineStr">
        <is>
          <t>E1</t>
        </is>
      </c>
      <c r="H43" s="9" t="inlineStr">
        <is>
          <t>—</t>
        </is>
      </c>
      <c r="I43" s="6" t="inlineStr">
        <is>
          <t>recurring</t>
        </is>
      </c>
      <c r="J43" s="6" t="inlineStr">
        <is>
          <t>Headcount funzione 3</t>
        </is>
      </c>
    </row>
    <row r="44">
      <c r="A44" s="10" t="inlineStr">
        <is>
          <t>pl.opex.ga.professional_fees</t>
        </is>
      </c>
      <c r="B44" s="8" t="inlineStr">
        <is>
          <t>PL</t>
        </is>
      </c>
      <c r="C44" s="8" t="inlineStr">
        <is>
          <t>opex</t>
        </is>
      </c>
      <c r="D44" s="8" t="inlineStr">
        <is>
          <t>driver</t>
        </is>
      </c>
      <c r="E44" s="8" t="inlineStr">
        <is>
          <t>negative</t>
        </is>
      </c>
      <c r="F44" s="10" t="inlineStr">
        <is>
          <t>inflation_indexed_growth</t>
        </is>
      </c>
      <c r="G44" s="8" t="inlineStr">
        <is>
          <t>E1</t>
        </is>
      </c>
      <c r="H44" s="10" t="inlineStr">
        <is>
          <t>—</t>
        </is>
      </c>
      <c r="I44" s="8" t="inlineStr">
        <is>
          <t>recurring</t>
        </is>
      </c>
      <c r="J44" s="8" t="inlineStr"/>
    </row>
    <row r="45">
      <c r="A45" s="9" t="inlineStr">
        <is>
          <t>pl.opex.ga.insurance</t>
        </is>
      </c>
      <c r="B45" s="6" t="inlineStr">
        <is>
          <t>PL</t>
        </is>
      </c>
      <c r="C45" s="6" t="inlineStr">
        <is>
          <t>opex</t>
        </is>
      </c>
      <c r="D45" s="6" t="inlineStr">
        <is>
          <t>driver</t>
        </is>
      </c>
      <c r="E45" s="6" t="inlineStr">
        <is>
          <t>negative</t>
        </is>
      </c>
      <c r="F45" s="9" t="inlineStr">
        <is>
          <t>inflation_indexed_growth</t>
        </is>
      </c>
      <c r="G45" s="6" t="inlineStr">
        <is>
          <t>E1</t>
        </is>
      </c>
      <c r="H45" s="9" t="inlineStr">
        <is>
          <t>—</t>
        </is>
      </c>
      <c r="I45" s="6" t="inlineStr">
        <is>
          <t>recurring</t>
        </is>
      </c>
      <c r="J45" s="6" t="inlineStr"/>
    </row>
    <row r="46">
      <c r="A46" s="10" t="inlineStr">
        <is>
          <t>pl.opex.ga.travel</t>
        </is>
      </c>
      <c r="B46" s="8" t="inlineStr">
        <is>
          <t>PL</t>
        </is>
      </c>
      <c r="C46" s="8" t="inlineStr">
        <is>
          <t>opex</t>
        </is>
      </c>
      <c r="D46" s="8" t="inlineStr">
        <is>
          <t>driver</t>
        </is>
      </c>
      <c r="E46" s="8" t="inlineStr">
        <is>
          <t>negative</t>
        </is>
      </c>
      <c r="F46" s="10" t="inlineStr">
        <is>
          <t>inflation_indexed_growth</t>
        </is>
      </c>
      <c r="G46" s="8" t="inlineStr">
        <is>
          <t>E1</t>
        </is>
      </c>
      <c r="H46" s="10" t="inlineStr">
        <is>
          <t>—</t>
        </is>
      </c>
      <c r="I46" s="8" t="inlineStr">
        <is>
          <t>recurring</t>
        </is>
      </c>
      <c r="J46" s="8" t="inlineStr"/>
    </row>
    <row r="47">
      <c r="A47" s="9" t="inlineStr">
        <is>
          <t>pl.opex.it.software_cloud</t>
        </is>
      </c>
      <c r="B47" s="6" t="inlineStr">
        <is>
          <t>PL</t>
        </is>
      </c>
      <c r="C47" s="6" t="inlineStr">
        <is>
          <t>opex</t>
        </is>
      </c>
      <c r="D47" s="6" t="inlineStr">
        <is>
          <t>driver</t>
        </is>
      </c>
      <c r="E47" s="6" t="inlineStr">
        <is>
          <t>negative</t>
        </is>
      </c>
      <c r="F47" s="9" t="inlineStr">
        <is>
          <t>historical_avg_growth</t>
        </is>
      </c>
      <c r="G47" s="6" t="inlineStr">
        <is>
          <t>E1</t>
        </is>
      </c>
      <c r="H47" s="9" t="inlineStr">
        <is>
          <t>—</t>
        </is>
      </c>
      <c r="I47" s="6" t="inlineStr">
        <is>
          <t>recurring</t>
        </is>
      </c>
      <c r="J47" s="6" t="inlineStr"/>
    </row>
    <row r="48">
      <c r="A48" s="10" t="inlineStr">
        <is>
          <t>pl.opex.facilities.utilities</t>
        </is>
      </c>
      <c r="B48" s="8" t="inlineStr">
        <is>
          <t>PL</t>
        </is>
      </c>
      <c r="C48" s="8" t="inlineStr">
        <is>
          <t>opex</t>
        </is>
      </c>
      <c r="D48" s="8" t="inlineStr">
        <is>
          <t>driver</t>
        </is>
      </c>
      <c r="E48" s="8" t="inlineStr">
        <is>
          <t>negative</t>
        </is>
      </c>
      <c r="F48" s="10" t="inlineStr">
        <is>
          <t>inflation_indexed_growth</t>
        </is>
      </c>
      <c r="G48" s="8" t="inlineStr">
        <is>
          <t>E1</t>
        </is>
      </c>
      <c r="H48" s="10" t="inlineStr">
        <is>
          <t>—</t>
        </is>
      </c>
      <c r="I48" s="8" t="inlineStr">
        <is>
          <t>recurring</t>
        </is>
      </c>
      <c r="J48" s="8" t="inlineStr"/>
    </row>
    <row r="49">
      <c r="A49" s="9" t="inlineStr">
        <is>
          <t>pl.opex.facilities.maintenance</t>
        </is>
      </c>
      <c r="B49" s="6" t="inlineStr">
        <is>
          <t>PL</t>
        </is>
      </c>
      <c r="C49" s="6" t="inlineStr">
        <is>
          <t>opex</t>
        </is>
      </c>
      <c r="D49" s="6" t="inlineStr">
        <is>
          <t>driver</t>
        </is>
      </c>
      <c r="E49" s="6" t="inlineStr">
        <is>
          <t>negative</t>
        </is>
      </c>
      <c r="F49" s="9" t="inlineStr">
        <is>
          <t>inflation_indexed_growth</t>
        </is>
      </c>
      <c r="G49" s="6" t="inlineStr">
        <is>
          <t>E1</t>
        </is>
      </c>
      <c r="H49" s="9" t="inlineStr">
        <is>
          <t>—</t>
        </is>
      </c>
      <c r="I49" s="6" t="inlineStr">
        <is>
          <t>recurring</t>
        </is>
      </c>
      <c r="J49" s="6" t="inlineStr"/>
    </row>
    <row r="50">
      <c r="A50" s="10" t="inlineStr">
        <is>
          <t>pl.opex.rd.personnel</t>
        </is>
      </c>
      <c r="B50" s="8" t="inlineStr">
        <is>
          <t>PL</t>
        </is>
      </c>
      <c r="C50" s="8" t="inlineStr">
        <is>
          <t>opex</t>
        </is>
      </c>
      <c r="D50" s="8" t="inlineStr">
        <is>
          <t>driver</t>
        </is>
      </c>
      <c r="E50" s="8" t="inlineStr">
        <is>
          <t>negative</t>
        </is>
      </c>
      <c r="F50" s="10" t="inlineStr">
        <is>
          <t>headcount_unit_cost</t>
        </is>
      </c>
      <c r="G50" s="8" t="inlineStr">
        <is>
          <t>E1</t>
        </is>
      </c>
      <c r="H50" s="10" t="inlineStr">
        <is>
          <t>—</t>
        </is>
      </c>
      <c r="I50" s="8" t="inlineStr">
        <is>
          <t>recurring</t>
        </is>
      </c>
      <c r="J50" s="8" t="inlineStr">
        <is>
          <t>Headcount funzione 4</t>
        </is>
      </c>
    </row>
    <row r="51">
      <c r="A51" s="9" t="inlineStr">
        <is>
          <t>pl.opex.rd.external</t>
        </is>
      </c>
      <c r="B51" s="6" t="inlineStr">
        <is>
          <t>PL</t>
        </is>
      </c>
      <c r="C51" s="6" t="inlineStr">
        <is>
          <t>opex</t>
        </is>
      </c>
      <c r="D51" s="6" t="inlineStr">
        <is>
          <t>driver</t>
        </is>
      </c>
      <c r="E51" s="6" t="inlineStr">
        <is>
          <t>negative</t>
        </is>
      </c>
      <c r="F51" s="9" t="inlineStr">
        <is>
          <t>historical_avg_growth</t>
        </is>
      </c>
      <c r="G51" s="6" t="inlineStr">
        <is>
          <t>E1</t>
        </is>
      </c>
      <c r="H51" s="9" t="inlineStr">
        <is>
          <t>—</t>
        </is>
      </c>
      <c r="I51" s="6" t="inlineStr">
        <is>
          <t>recurring</t>
        </is>
      </c>
      <c r="J51" s="6" t="inlineStr"/>
    </row>
    <row r="52">
      <c r="A52" s="10" t="inlineStr">
        <is>
          <t>pl.opex.logistics_outbound</t>
        </is>
      </c>
      <c r="B52" s="8" t="inlineStr">
        <is>
          <t>PL</t>
        </is>
      </c>
      <c r="C52" s="8" t="inlineStr">
        <is>
          <t>opex</t>
        </is>
      </c>
      <c r="D52" s="8" t="inlineStr">
        <is>
          <t>driver</t>
        </is>
      </c>
      <c r="E52" s="8" t="inlineStr">
        <is>
          <t>negative</t>
        </is>
      </c>
      <c r="F52" s="10" t="inlineStr">
        <is>
          <t>pct_net_revenue</t>
        </is>
      </c>
      <c r="G52" s="8" t="inlineStr">
        <is>
          <t>E1</t>
        </is>
      </c>
      <c r="H52" s="10" t="inlineStr">
        <is>
          <t>pl.rev.net</t>
        </is>
      </c>
      <c r="I52" s="8" t="inlineStr">
        <is>
          <t>recurring</t>
        </is>
      </c>
      <c r="J52" s="8" t="inlineStr"/>
    </row>
    <row r="53">
      <c r="A53" s="9" t="inlineStr">
        <is>
          <t>pl.opex.customer_support</t>
        </is>
      </c>
      <c r="B53" s="6" t="inlineStr">
        <is>
          <t>PL</t>
        </is>
      </c>
      <c r="C53" s="6" t="inlineStr">
        <is>
          <t>opex</t>
        </is>
      </c>
      <c r="D53" s="6" t="inlineStr">
        <is>
          <t>driver</t>
        </is>
      </c>
      <c r="E53" s="6" t="inlineStr">
        <is>
          <t>negative</t>
        </is>
      </c>
      <c r="F53" s="9" t="inlineStr">
        <is>
          <t>headcount_unit_cost</t>
        </is>
      </c>
      <c r="G53" s="6" t="inlineStr">
        <is>
          <t>E1</t>
        </is>
      </c>
      <c r="H53" s="9" t="inlineStr">
        <is>
          <t>—</t>
        </is>
      </c>
      <c r="I53" s="6" t="inlineStr">
        <is>
          <t>recurring</t>
        </is>
      </c>
      <c r="J53" s="6" t="inlineStr">
        <is>
          <t>Headcount funzione 5</t>
        </is>
      </c>
    </row>
    <row r="54">
      <c r="A54" s="10" t="inlineStr">
        <is>
          <t>pl.opex.other_recurring</t>
        </is>
      </c>
      <c r="B54" s="8" t="inlineStr">
        <is>
          <t>PL</t>
        </is>
      </c>
      <c r="C54" s="8" t="inlineStr">
        <is>
          <t>opex</t>
        </is>
      </c>
      <c r="D54" s="8" t="inlineStr">
        <is>
          <t>driver</t>
        </is>
      </c>
      <c r="E54" s="8" t="inlineStr">
        <is>
          <t>negative</t>
        </is>
      </c>
      <c r="F54" s="10" t="inlineStr">
        <is>
          <t>historical_avg_growth</t>
        </is>
      </c>
      <c r="G54" s="8" t="inlineStr">
        <is>
          <t>E1</t>
        </is>
      </c>
      <c r="H54" s="10" t="inlineStr">
        <is>
          <t>—</t>
        </is>
      </c>
      <c r="I54" s="8" t="inlineStr">
        <is>
          <t>recurring</t>
        </is>
      </c>
      <c r="J54" s="8" t="inlineStr"/>
    </row>
    <row r="55">
      <c r="A55" s="9" t="inlineStr">
        <is>
          <t>pl.opex.total</t>
        </is>
      </c>
      <c r="B55" s="6" t="inlineStr">
        <is>
          <t>PL</t>
        </is>
      </c>
      <c r="C55" s="6" t="inlineStr">
        <is>
          <t>opex</t>
        </is>
      </c>
      <c r="D55" s="6" t="inlineStr">
        <is>
          <t>derived</t>
        </is>
      </c>
      <c r="E55" s="6" t="inlineStr">
        <is>
          <t>negative</t>
        </is>
      </c>
      <c r="F55" s="9" t="inlineStr">
        <is>
          <t>subtotal_aggregation</t>
        </is>
      </c>
      <c r="G55" s="6" t="inlineStr">
        <is>
          <t>E1</t>
        </is>
      </c>
      <c r="H55" s="9" t="inlineStr">
        <is>
          <t>—</t>
        </is>
      </c>
      <c r="I55" s="6" t="inlineStr">
        <is>
          <t>—</t>
        </is>
      </c>
      <c r="J55" s="6" t="inlineStr">
        <is>
          <t>Final in E1</t>
        </is>
      </c>
    </row>
    <row r="56">
      <c r="A56" s="10" t="inlineStr">
        <is>
          <t>pl.provisions.warranty</t>
        </is>
      </c>
      <c r="B56" s="8" t="inlineStr">
        <is>
          <t>PL</t>
        </is>
      </c>
      <c r="C56" s="8" t="inlineStr">
        <is>
          <t>provisions</t>
        </is>
      </c>
      <c r="D56" s="8" t="inlineStr">
        <is>
          <t>driver</t>
        </is>
      </c>
      <c r="E56" s="8" t="inlineStr">
        <is>
          <t>negative</t>
        </is>
      </c>
      <c r="F56" s="10" t="inlineStr">
        <is>
          <t>warranty_rate_revenue</t>
        </is>
      </c>
      <c r="G56" s="8" t="inlineStr">
        <is>
          <t>E1</t>
        </is>
      </c>
      <c r="H56" s="10" t="inlineStr">
        <is>
          <t>pl.rev.gross.product_sales</t>
        </is>
      </c>
      <c r="I56" s="8" t="inlineStr">
        <is>
          <t>recurring</t>
        </is>
      </c>
      <c r="J56" s="8" t="inlineStr"/>
    </row>
    <row r="57">
      <c r="A57" s="9" t="inlineStr">
        <is>
          <t>pl.provisions.restructuring</t>
        </is>
      </c>
      <c r="B57" s="6" t="inlineStr">
        <is>
          <t>PL</t>
        </is>
      </c>
      <c r="C57" s="6" t="inlineStr">
        <is>
          <t>provisions</t>
        </is>
      </c>
      <c r="D57" s="6" t="inlineStr">
        <is>
          <t>driver</t>
        </is>
      </c>
      <c r="E57" s="6" t="inlineStr">
        <is>
          <t>negative</t>
        </is>
      </c>
      <c r="F57" s="9" t="inlineStr">
        <is>
          <t>manual_provision_schedule</t>
        </is>
      </c>
      <c r="G57" s="6" t="inlineStr">
        <is>
          <t>E1</t>
        </is>
      </c>
      <c r="H57" s="9" t="inlineStr">
        <is>
          <t>—</t>
        </is>
      </c>
      <c r="I57" s="6" t="inlineStr">
        <is>
          <t>non_recurring_extraordinary</t>
        </is>
      </c>
      <c r="J57" s="6" t="inlineStr"/>
    </row>
    <row r="58">
      <c r="A58" s="10" t="inlineStr">
        <is>
          <t>pl.provisions.legal_other</t>
        </is>
      </c>
      <c r="B58" s="8" t="inlineStr">
        <is>
          <t>PL</t>
        </is>
      </c>
      <c r="C58" s="8" t="inlineStr">
        <is>
          <t>provisions</t>
        </is>
      </c>
      <c r="D58" s="8" t="inlineStr">
        <is>
          <t>driver</t>
        </is>
      </c>
      <c r="E58" s="8" t="inlineStr">
        <is>
          <t>negative</t>
        </is>
      </c>
      <c r="F58" s="10" t="inlineStr">
        <is>
          <t>manual_provision_schedule</t>
        </is>
      </c>
      <c r="G58" s="8" t="inlineStr">
        <is>
          <t>E1</t>
        </is>
      </c>
      <c r="H58" s="10" t="inlineStr">
        <is>
          <t>—</t>
        </is>
      </c>
      <c r="I58" s="8" t="inlineStr">
        <is>
          <t>non_recurring_extraordinary</t>
        </is>
      </c>
      <c r="J58" s="8" t="inlineStr">
        <is>
          <t>Alt: weighted_exposure (services)</t>
        </is>
      </c>
    </row>
    <row r="59">
      <c r="A59" s="9" t="inlineStr">
        <is>
          <t>pl.provisions.total</t>
        </is>
      </c>
      <c r="B59" s="6" t="inlineStr">
        <is>
          <t>PL</t>
        </is>
      </c>
      <c r="C59" s="6" t="inlineStr">
        <is>
          <t>provisions</t>
        </is>
      </c>
      <c r="D59" s="6" t="inlineStr">
        <is>
          <t>derived</t>
        </is>
      </c>
      <c r="E59" s="6" t="inlineStr">
        <is>
          <t>negative</t>
        </is>
      </c>
      <c r="F59" s="9" t="inlineStr">
        <is>
          <t>subtotal_aggregation</t>
        </is>
      </c>
      <c r="G59" s="6" t="inlineStr">
        <is>
          <t>E1</t>
        </is>
      </c>
      <c r="H59" s="9" t="inlineStr">
        <is>
          <t>—</t>
        </is>
      </c>
      <c r="I59" s="6" t="inlineStr">
        <is>
          <t>—</t>
        </is>
      </c>
      <c r="J59" s="6" t="inlineStr"/>
    </row>
    <row r="60">
      <c r="A60" s="10" t="inlineStr">
        <is>
          <t>pl.ebitda</t>
        </is>
      </c>
      <c r="B60" s="8" t="inlineStr">
        <is>
          <t>PL</t>
        </is>
      </c>
      <c r="C60" s="8" t="inlineStr">
        <is>
          <t>ebitda</t>
        </is>
      </c>
      <c r="D60" s="8" t="inlineStr">
        <is>
          <t>derived</t>
        </is>
      </c>
      <c r="E60" s="8" t="inlineStr">
        <is>
          <t>signed_either</t>
        </is>
      </c>
      <c r="F60" s="10" t="inlineStr">
        <is>
          <t>—</t>
        </is>
      </c>
      <c r="G60" s="8" t="inlineStr">
        <is>
          <t>E1 proxy / E3 final</t>
        </is>
      </c>
      <c r="H60" s="10" t="inlineStr">
        <is>
          <t>—</t>
        </is>
      </c>
      <c r="I60" s="8" t="inlineStr">
        <is>
          <t>—</t>
        </is>
      </c>
      <c r="J60" s="8">
        <f> gross_profit + opex.total + provisions.total</f>
        <v/>
      </c>
    </row>
    <row r="61">
      <c r="A61" s="9" t="inlineStr">
        <is>
          <t>pl.da.ppe</t>
        </is>
      </c>
      <c r="B61" s="6" t="inlineStr">
        <is>
          <t>PL</t>
        </is>
      </c>
      <c r="C61" s="6" t="inlineStr">
        <is>
          <t>da</t>
        </is>
      </c>
      <c r="D61" s="6" t="inlineStr">
        <is>
          <t>derived</t>
        </is>
      </c>
      <c r="E61" s="6" t="inlineStr">
        <is>
          <t>negative</t>
        </is>
      </c>
      <c r="F61" s="9" t="inlineStr">
        <is>
          <t>da_mid_year_convention</t>
        </is>
      </c>
      <c r="G61" s="6" t="inlineStr">
        <is>
          <t>E2</t>
        </is>
      </c>
      <c r="H61" s="9" t="inlineStr">
        <is>
          <t>bs.fa.tangible.gross</t>
        </is>
      </c>
      <c r="I61" s="6" t="inlineStr">
        <is>
          <t>recurring</t>
        </is>
      </c>
      <c r="J61" s="6" t="inlineStr"/>
    </row>
    <row r="62">
      <c r="A62" s="10" t="inlineStr">
        <is>
          <t>pl.da.intangibles</t>
        </is>
      </c>
      <c r="B62" s="8" t="inlineStr">
        <is>
          <t>PL</t>
        </is>
      </c>
      <c r="C62" s="8" t="inlineStr">
        <is>
          <t>da</t>
        </is>
      </c>
      <c r="D62" s="8" t="inlineStr">
        <is>
          <t>derived</t>
        </is>
      </c>
      <c r="E62" s="8" t="inlineStr">
        <is>
          <t>negative</t>
        </is>
      </c>
      <c r="F62" s="10" t="inlineStr">
        <is>
          <t>da_mid_year_convention</t>
        </is>
      </c>
      <c r="G62" s="8" t="inlineStr">
        <is>
          <t>E2</t>
        </is>
      </c>
      <c r="H62" s="10" t="inlineStr">
        <is>
          <t>bs.fa.intangible.gross</t>
        </is>
      </c>
      <c r="I62" s="8" t="inlineStr">
        <is>
          <t>recurring</t>
        </is>
      </c>
      <c r="J62" s="8" t="inlineStr"/>
    </row>
    <row r="63">
      <c r="A63" s="9" t="inlineStr">
        <is>
          <t>pl.da.rou</t>
        </is>
      </c>
      <c r="B63" s="6" t="inlineStr">
        <is>
          <t>PL</t>
        </is>
      </c>
      <c r="C63" s="6" t="inlineStr">
        <is>
          <t>da</t>
        </is>
      </c>
      <c r="D63" s="6" t="inlineStr">
        <is>
          <t>derived</t>
        </is>
      </c>
      <c r="E63" s="6" t="inlineStr">
        <is>
          <t>negative</t>
        </is>
      </c>
      <c r="F63" s="9" t="inlineStr">
        <is>
          <t>da_mid_year_convention</t>
        </is>
      </c>
      <c r="G63" s="6" t="inlineStr">
        <is>
          <t>E2</t>
        </is>
      </c>
      <c r="H63" s="9" t="inlineStr">
        <is>
          <t>bs.fa.rou.gross</t>
        </is>
      </c>
      <c r="I63" s="6" t="inlineStr">
        <is>
          <t>recurring</t>
        </is>
      </c>
      <c r="J63" s="6" t="inlineStr"/>
    </row>
    <row r="64">
      <c r="A64" s="10" t="inlineStr">
        <is>
          <t>pl.da.total</t>
        </is>
      </c>
      <c r="B64" s="8" t="inlineStr">
        <is>
          <t>PL</t>
        </is>
      </c>
      <c r="C64" s="8" t="inlineStr">
        <is>
          <t>da</t>
        </is>
      </c>
      <c r="D64" s="8" t="inlineStr">
        <is>
          <t>derived</t>
        </is>
      </c>
      <c r="E64" s="8" t="inlineStr">
        <is>
          <t>negative</t>
        </is>
      </c>
      <c r="F64" s="10" t="inlineStr">
        <is>
          <t>subtotal_aggregation</t>
        </is>
      </c>
      <c r="G64" s="8" t="inlineStr">
        <is>
          <t>E2</t>
        </is>
      </c>
      <c r="H64" s="10" t="inlineStr">
        <is>
          <t>—</t>
        </is>
      </c>
      <c r="I64" s="8" t="inlineStr">
        <is>
          <t>—</t>
        </is>
      </c>
      <c r="J64" s="8" t="inlineStr"/>
    </row>
    <row r="65">
      <c r="A65" s="9" t="inlineStr">
        <is>
          <t>pl.impairment.ppe</t>
        </is>
      </c>
      <c r="B65" s="6" t="inlineStr">
        <is>
          <t>PL</t>
        </is>
      </c>
      <c r="C65" s="6" t="inlineStr">
        <is>
          <t>impairment</t>
        </is>
      </c>
      <c r="D65" s="6" t="inlineStr">
        <is>
          <t>driver</t>
        </is>
      </c>
      <c r="E65" s="6" t="inlineStr">
        <is>
          <t>negative</t>
        </is>
      </c>
      <c r="F65" s="9" t="inlineStr">
        <is>
          <t>manual_zero</t>
        </is>
      </c>
      <c r="G65" s="6" t="inlineStr">
        <is>
          <t>E2</t>
        </is>
      </c>
      <c r="H65" s="9" t="inlineStr">
        <is>
          <t>—</t>
        </is>
      </c>
      <c r="I65" s="6" t="inlineStr">
        <is>
          <t>non_recurring_extraordinary</t>
        </is>
      </c>
      <c r="J65" s="6" t="inlineStr">
        <is>
          <t>Splitting da pl.da.impairment_oneoff</t>
        </is>
      </c>
    </row>
    <row r="66">
      <c r="A66" s="10" t="inlineStr">
        <is>
          <t>pl.impairment.intangibles</t>
        </is>
      </c>
      <c r="B66" s="8" t="inlineStr">
        <is>
          <t>PL</t>
        </is>
      </c>
      <c r="C66" s="8" t="inlineStr">
        <is>
          <t>impairment</t>
        </is>
      </c>
      <c r="D66" s="8" t="inlineStr">
        <is>
          <t>driver</t>
        </is>
      </c>
      <c r="E66" s="8" t="inlineStr">
        <is>
          <t>negative</t>
        </is>
      </c>
      <c r="F66" s="10" t="inlineStr">
        <is>
          <t>manual_zero</t>
        </is>
      </c>
      <c r="G66" s="8" t="inlineStr">
        <is>
          <t>E2</t>
        </is>
      </c>
      <c r="H66" s="10" t="inlineStr">
        <is>
          <t>—</t>
        </is>
      </c>
      <c r="I66" s="8" t="inlineStr">
        <is>
          <t>non_recurring_extraordinary</t>
        </is>
      </c>
      <c r="J66" s="8" t="inlineStr">
        <is>
          <t>Splitting</t>
        </is>
      </c>
    </row>
    <row r="67">
      <c r="A67" s="9" t="inlineStr">
        <is>
          <t>pl.impairment.goodwill</t>
        </is>
      </c>
      <c r="B67" s="6" t="inlineStr">
        <is>
          <t>PL</t>
        </is>
      </c>
      <c r="C67" s="6" t="inlineStr">
        <is>
          <t>impairment</t>
        </is>
      </c>
      <c r="D67" s="6" t="inlineStr">
        <is>
          <t>driver</t>
        </is>
      </c>
      <c r="E67" s="6" t="inlineStr">
        <is>
          <t>negative</t>
        </is>
      </c>
      <c r="F67" s="9" t="inlineStr">
        <is>
          <t>manual_zero</t>
        </is>
      </c>
      <c r="G67" s="6" t="inlineStr">
        <is>
          <t>E2</t>
        </is>
      </c>
      <c r="H67" s="9" t="inlineStr">
        <is>
          <t>—</t>
        </is>
      </c>
      <c r="I67" s="6" t="inlineStr">
        <is>
          <t>non_recurring_extraordinary</t>
        </is>
      </c>
      <c r="J67" s="6" t="inlineStr">
        <is>
          <t>IAS 36</t>
        </is>
      </c>
    </row>
    <row r="68">
      <c r="A68" s="10" t="inlineStr">
        <is>
          <t>pl.impairment.total</t>
        </is>
      </c>
      <c r="B68" s="8" t="inlineStr">
        <is>
          <t>PL</t>
        </is>
      </c>
      <c r="C68" s="8" t="inlineStr">
        <is>
          <t>impairment</t>
        </is>
      </c>
      <c r="D68" s="8" t="inlineStr">
        <is>
          <t>derived</t>
        </is>
      </c>
      <c r="E68" s="8" t="inlineStr">
        <is>
          <t>negative</t>
        </is>
      </c>
      <c r="F68" s="10" t="inlineStr">
        <is>
          <t>subtotal_aggregation</t>
        </is>
      </c>
      <c r="G68" s="8" t="inlineStr">
        <is>
          <t>E2</t>
        </is>
      </c>
      <c r="H68" s="10" t="inlineStr">
        <is>
          <t>—</t>
        </is>
      </c>
      <c r="I68" s="8" t="inlineStr">
        <is>
          <t>—</t>
        </is>
      </c>
      <c r="J68" s="8" t="inlineStr"/>
    </row>
    <row r="69">
      <c r="A69" s="9" t="inlineStr">
        <is>
          <t>pl.ebit</t>
        </is>
      </c>
      <c r="B69" s="6" t="inlineStr">
        <is>
          <t>PL</t>
        </is>
      </c>
      <c r="C69" s="6" t="inlineStr">
        <is>
          <t>ebit</t>
        </is>
      </c>
      <c r="D69" s="6" t="inlineStr">
        <is>
          <t>derived</t>
        </is>
      </c>
      <c r="E69" s="6" t="inlineStr">
        <is>
          <t>signed_either</t>
        </is>
      </c>
      <c r="F69" s="9" t="inlineStr">
        <is>
          <t>—</t>
        </is>
      </c>
      <c r="G69" s="6" t="inlineStr">
        <is>
          <t>E7</t>
        </is>
      </c>
      <c r="H69" s="9" t="inlineStr">
        <is>
          <t>—</t>
        </is>
      </c>
      <c r="I69" s="6" t="inlineStr">
        <is>
          <t>—</t>
        </is>
      </c>
      <c r="J69" s="6">
        <f> ebitda + da.total + impairment.total</f>
        <v/>
      </c>
    </row>
    <row r="70">
      <c r="A70" s="10" t="inlineStr">
        <is>
          <t>pl.financial.interest_income</t>
        </is>
      </c>
      <c r="B70" s="8" t="inlineStr">
        <is>
          <t>PL</t>
        </is>
      </c>
      <c r="C70" s="8" t="inlineStr">
        <is>
          <t>financial</t>
        </is>
      </c>
      <c r="D70" s="8" t="inlineStr">
        <is>
          <t>derived</t>
        </is>
      </c>
      <c r="E70" s="8" t="inlineStr">
        <is>
          <t>positive</t>
        </is>
      </c>
      <c r="F70" s="10" t="inlineStr">
        <is>
          <t>interest_income_cash_avg</t>
        </is>
      </c>
      <c r="G70" s="8" t="inlineStr">
        <is>
          <t>E4 proxy / E8 check</t>
        </is>
      </c>
      <c r="H70" s="10" t="inlineStr">
        <is>
          <t>bs.nfp.cash</t>
        </is>
      </c>
      <c r="I70" s="8" t="inlineStr">
        <is>
          <t>recurring</t>
        </is>
      </c>
      <c r="J70" s="8" t="inlineStr">
        <is>
          <t>Proxy con cash[t-1]</t>
        </is>
      </c>
    </row>
    <row r="71">
      <c r="A71" s="9" t="inlineStr">
        <is>
          <t>pl.financial.interest_expense</t>
        </is>
      </c>
      <c r="B71" s="6" t="inlineStr">
        <is>
          <t>PL</t>
        </is>
      </c>
      <c r="C71" s="6" t="inlineStr">
        <is>
          <t>financial</t>
        </is>
      </c>
      <c r="D71" s="6" t="inlineStr">
        <is>
          <t>derived</t>
        </is>
      </c>
      <c r="E71" s="6" t="inlineStr">
        <is>
          <t>negative</t>
        </is>
      </c>
      <c r="F71" s="9" t="inlineStr">
        <is>
          <t>interest_expense_avg_balance</t>
        </is>
      </c>
      <c r="G71" s="6" t="inlineStr">
        <is>
          <t>E4</t>
        </is>
      </c>
      <c r="H71" s="9" t="inlineStr">
        <is>
          <t>bs.nfp.borrowings</t>
        </is>
      </c>
      <c r="I71" s="6" t="inlineStr">
        <is>
          <t>recurring</t>
        </is>
      </c>
      <c r="J71" s="6" t="inlineStr"/>
    </row>
    <row r="72">
      <c r="A72" s="10" t="inlineStr">
        <is>
          <t>pl.financial.lease_interest</t>
        </is>
      </c>
      <c r="B72" s="8" t="inlineStr">
        <is>
          <t>PL</t>
        </is>
      </c>
      <c r="C72" s="8" t="inlineStr">
        <is>
          <t>financial</t>
        </is>
      </c>
      <c r="D72" s="8" t="inlineStr">
        <is>
          <t>derived</t>
        </is>
      </c>
      <c r="E72" s="8" t="inlineStr">
        <is>
          <t>negative</t>
        </is>
      </c>
      <c r="F72" s="10" t="inlineStr">
        <is>
          <t>lease_interest_avg_balance</t>
        </is>
      </c>
      <c r="G72" s="8" t="inlineStr">
        <is>
          <t>E4</t>
        </is>
      </c>
      <c r="H72" s="10" t="inlineStr">
        <is>
          <t>bs.nfp.lease_liability</t>
        </is>
      </c>
      <c r="I72" s="8" t="inlineStr">
        <is>
          <t>recurring</t>
        </is>
      </c>
      <c r="J72" s="8" t="inlineStr"/>
    </row>
    <row r="73">
      <c r="A73" s="9" t="inlineStr">
        <is>
          <t>pl.financial.fx_gain_loss</t>
        </is>
      </c>
      <c r="B73" s="6" t="inlineStr">
        <is>
          <t>PL</t>
        </is>
      </c>
      <c r="C73" s="6" t="inlineStr">
        <is>
          <t>financial</t>
        </is>
      </c>
      <c r="D73" s="6" t="inlineStr">
        <is>
          <t>driver (placeholder)</t>
        </is>
      </c>
      <c r="E73" s="6" t="inlineStr">
        <is>
          <t>signed_either</t>
        </is>
      </c>
      <c r="F73" s="9" t="inlineStr">
        <is>
          <t>manual_zero_placeholder</t>
        </is>
      </c>
      <c r="G73" s="6" t="inlineStr">
        <is>
          <t>E1</t>
        </is>
      </c>
      <c r="H73" s="9" t="inlineStr">
        <is>
          <t>—</t>
        </is>
      </c>
      <c r="I73" s="6" t="inlineStr">
        <is>
          <t>recurring</t>
        </is>
      </c>
      <c r="J73" s="6" t="inlineStr">
        <is>
          <t>Mono-EUR pilot</t>
        </is>
      </c>
    </row>
    <row r="74">
      <c r="A74" s="10" t="inlineStr">
        <is>
          <t>pl.financial.total_net</t>
        </is>
      </c>
      <c r="B74" s="8" t="inlineStr">
        <is>
          <t>PL</t>
        </is>
      </c>
      <c r="C74" s="8" t="inlineStr">
        <is>
          <t>financial</t>
        </is>
      </c>
      <c r="D74" s="8" t="inlineStr">
        <is>
          <t>derived</t>
        </is>
      </c>
      <c r="E74" s="8" t="inlineStr">
        <is>
          <t>signed_either</t>
        </is>
      </c>
      <c r="F74" s="10" t="inlineStr">
        <is>
          <t>subtotal_aggregation</t>
        </is>
      </c>
      <c r="G74" s="8" t="inlineStr">
        <is>
          <t>E4</t>
        </is>
      </c>
      <c r="H74" s="10" t="inlineStr">
        <is>
          <t>—</t>
        </is>
      </c>
      <c r="I74" s="8" t="inlineStr">
        <is>
          <t>—</t>
        </is>
      </c>
      <c r="J74" s="8" t="inlineStr"/>
    </row>
    <row r="75">
      <c r="A75" s="9" t="inlineStr">
        <is>
          <t>pl.equity_method_result</t>
        </is>
      </c>
      <c r="B75" s="6" t="inlineStr">
        <is>
          <t>PL</t>
        </is>
      </c>
      <c r="C75" s="6" t="inlineStr">
        <is>
          <t>equity_method</t>
        </is>
      </c>
      <c r="D75" s="6" t="inlineStr">
        <is>
          <t>driver (placeholder)</t>
        </is>
      </c>
      <c r="E75" s="6" t="inlineStr">
        <is>
          <t>signed_either</t>
        </is>
      </c>
      <c r="F75" s="9" t="inlineStr">
        <is>
          <t>manual_zero_placeholder</t>
        </is>
      </c>
      <c r="G75" s="6" t="inlineStr">
        <is>
          <t>E1</t>
        </is>
      </c>
      <c r="H75" s="9" t="inlineStr">
        <is>
          <t>—</t>
        </is>
      </c>
      <c r="I75" s="6" t="inlineStr">
        <is>
          <t>recurring</t>
        </is>
      </c>
      <c r="J75" s="6" t="inlineStr">
        <is>
          <t>Mono-perimetro pilot</t>
        </is>
      </c>
    </row>
    <row r="76">
      <c r="A76" s="10" t="inlineStr">
        <is>
          <t>pl.other.non_operating_recurring</t>
        </is>
      </c>
      <c r="B76" s="8" t="inlineStr">
        <is>
          <t>PL</t>
        </is>
      </c>
      <c r="C76" s="8" t="inlineStr">
        <is>
          <t>other_non_op</t>
        </is>
      </c>
      <c r="D76" s="8" t="inlineStr">
        <is>
          <t>driver</t>
        </is>
      </c>
      <c r="E76" s="8" t="inlineStr">
        <is>
          <t>signed_either</t>
        </is>
      </c>
      <c r="F76" s="10" t="inlineStr">
        <is>
          <t>flat</t>
        </is>
      </c>
      <c r="G76" s="8" t="inlineStr">
        <is>
          <t>E1</t>
        </is>
      </c>
      <c r="H76" s="10" t="inlineStr">
        <is>
          <t>—</t>
        </is>
      </c>
      <c r="I76" s="8" t="inlineStr">
        <is>
          <t>recurring</t>
        </is>
      </c>
      <c r="J76" s="8" t="inlineStr"/>
    </row>
    <row r="77">
      <c r="A77" s="9" t="inlineStr">
        <is>
          <t>pl.other.non_operating_extraordinary</t>
        </is>
      </c>
      <c r="B77" s="6" t="inlineStr">
        <is>
          <t>PL</t>
        </is>
      </c>
      <c r="C77" s="6" t="inlineStr">
        <is>
          <t>other_non_op</t>
        </is>
      </c>
      <c r="D77" s="6" t="inlineStr">
        <is>
          <t>driver</t>
        </is>
      </c>
      <c r="E77" s="6" t="inlineStr">
        <is>
          <t>signed_either</t>
        </is>
      </c>
      <c r="F77" s="9" t="inlineStr">
        <is>
          <t>manual_one_off</t>
        </is>
      </c>
      <c r="G77" s="6" t="inlineStr">
        <is>
          <t>E1</t>
        </is>
      </c>
      <c r="H77" s="9" t="inlineStr">
        <is>
          <t>—</t>
        </is>
      </c>
      <c r="I77" s="6" t="inlineStr">
        <is>
          <t>non_recurring_extraordinary</t>
        </is>
      </c>
      <c r="J77" s="6" t="inlineStr">
        <is>
          <t>Plus/minus su disposals manuali</t>
        </is>
      </c>
    </row>
    <row r="78">
      <c r="A78" s="10" t="inlineStr">
        <is>
          <t>pl.other.fair_value_gain_loss_investment_property</t>
        </is>
      </c>
      <c r="B78" s="8" t="inlineStr">
        <is>
          <t>PL</t>
        </is>
      </c>
      <c r="C78" s="8" t="inlineStr">
        <is>
          <t>other_non_op</t>
        </is>
      </c>
      <c r="D78" s="8" t="inlineStr">
        <is>
          <t>derived</t>
        </is>
      </c>
      <c r="E78" s="8" t="inlineStr">
        <is>
          <t>signed_either</t>
        </is>
      </c>
      <c r="F78" s="10" t="inlineStr">
        <is>
          <t>—</t>
        </is>
      </c>
      <c r="G78" s="8" t="inlineStr">
        <is>
          <t>E2</t>
        </is>
      </c>
      <c r="H78" s="10" t="inlineStr">
        <is>
          <t>bs.fa.investment_property.fv_revaluation</t>
        </is>
      </c>
      <c r="I78" s="8" t="inlineStr">
        <is>
          <t>recurring</t>
        </is>
      </c>
      <c r="J78" s="8" t="inlineStr">
        <is>
          <t>IAS 40 FV model — voce nuova</t>
        </is>
      </c>
    </row>
    <row r="79">
      <c r="A79" s="9" t="inlineStr">
        <is>
          <t>pl.tax.permanent_differences</t>
        </is>
      </c>
      <c r="B79" s="6" t="inlineStr">
        <is>
          <t>PL</t>
        </is>
      </c>
      <c r="C79" s="6" t="inlineStr">
        <is>
          <t>tax</t>
        </is>
      </c>
      <c r="D79" s="6" t="inlineStr">
        <is>
          <t>driver</t>
        </is>
      </c>
      <c r="E79" s="6" t="inlineStr">
        <is>
          <t>signed_either</t>
        </is>
      </c>
      <c r="F79" s="9" t="inlineStr">
        <is>
          <t>manual_zero</t>
        </is>
      </c>
      <c r="G79" s="6" t="inlineStr">
        <is>
          <t>E6</t>
        </is>
      </c>
      <c r="H79" s="9" t="inlineStr">
        <is>
          <t>—</t>
        </is>
      </c>
      <c r="I79" s="6" t="inlineStr">
        <is>
          <t>recurring</t>
        </is>
      </c>
      <c r="J79" s="6" t="inlineStr">
        <is>
          <t>Pilot v1.1 advanced tax</t>
        </is>
      </c>
    </row>
    <row r="80">
      <c r="A80" s="10" t="inlineStr">
        <is>
          <t>pl.tax.temporary_differences</t>
        </is>
      </c>
      <c r="B80" s="8" t="inlineStr">
        <is>
          <t>PL</t>
        </is>
      </c>
      <c r="C80" s="8" t="inlineStr">
        <is>
          <t>tax</t>
        </is>
      </c>
      <c r="D80" s="8" t="inlineStr">
        <is>
          <t>derived</t>
        </is>
      </c>
      <c r="E80" s="8" t="inlineStr">
        <is>
          <t>signed_either</t>
        </is>
      </c>
      <c r="F80" s="10" t="inlineStr">
        <is>
          <t>—</t>
        </is>
      </c>
      <c r="G80" s="8" t="inlineStr">
        <is>
          <t>E6</t>
        </is>
      </c>
      <c r="H80" s="10" t="inlineStr">
        <is>
          <t>—</t>
        </is>
      </c>
      <c r="I80" s="8" t="inlineStr">
        <is>
          <t>—</t>
        </is>
      </c>
      <c r="J80" s="8">
        <f> dta_movement - dtl_movement</f>
        <v/>
      </c>
    </row>
    <row r="81">
      <c r="A81" s="9" t="inlineStr">
        <is>
          <t>pl.tax.current</t>
        </is>
      </c>
      <c r="B81" s="6" t="inlineStr">
        <is>
          <t>PL</t>
        </is>
      </c>
      <c r="C81" s="6" t="inlineStr">
        <is>
          <t>tax</t>
        </is>
      </c>
      <c r="D81" s="6" t="inlineStr">
        <is>
          <t>derived</t>
        </is>
      </c>
      <c r="E81" s="6" t="inlineStr">
        <is>
          <t>negative</t>
        </is>
      </c>
      <c r="F81" s="9" t="inlineStr">
        <is>
          <t>tax_current_etr_simplified</t>
        </is>
      </c>
      <c r="G81" s="6" t="inlineStr">
        <is>
          <t>E7</t>
        </is>
      </c>
      <c r="H81" s="9" t="inlineStr">
        <is>
          <t>—</t>
        </is>
      </c>
      <c r="I81" s="6" t="inlineStr">
        <is>
          <t>recurring</t>
        </is>
      </c>
      <c r="J81" s="6" t="inlineStr">
        <is>
          <t>Default simplified, alt advanced con NOL</t>
        </is>
      </c>
    </row>
    <row r="82">
      <c r="A82" s="10" t="inlineStr">
        <is>
          <t>pl.tax.deferred</t>
        </is>
      </c>
      <c r="B82" s="8" t="inlineStr">
        <is>
          <t>PL</t>
        </is>
      </c>
      <c r="C82" s="8" t="inlineStr">
        <is>
          <t>tax</t>
        </is>
      </c>
      <c r="D82" s="8" t="inlineStr">
        <is>
          <t>derived</t>
        </is>
      </c>
      <c r="E82" s="8" t="inlineStr">
        <is>
          <t>signed_either</t>
        </is>
      </c>
      <c r="F82" s="10" t="inlineStr">
        <is>
          <t>—</t>
        </is>
      </c>
      <c r="G82" s="8" t="inlineStr">
        <is>
          <t>E7</t>
        </is>
      </c>
      <c r="H82" s="10" t="inlineStr">
        <is>
          <t>—</t>
        </is>
      </c>
      <c r="I82" s="8" t="inlineStr">
        <is>
          <t>recurring</t>
        </is>
      </c>
      <c r="J82" s="8">
        <f> temp_diff * etr</f>
        <v/>
      </c>
    </row>
    <row r="83">
      <c r="A83" s="9" t="inlineStr">
        <is>
          <t>pl.tax.total</t>
        </is>
      </c>
      <c r="B83" s="6" t="inlineStr">
        <is>
          <t>PL</t>
        </is>
      </c>
      <c r="C83" s="6" t="inlineStr">
        <is>
          <t>tax</t>
        </is>
      </c>
      <c r="D83" s="6" t="inlineStr">
        <is>
          <t>derived</t>
        </is>
      </c>
      <c r="E83" s="6" t="inlineStr">
        <is>
          <t>negative</t>
        </is>
      </c>
      <c r="F83" s="9" t="inlineStr">
        <is>
          <t>subtotal_aggregation</t>
        </is>
      </c>
      <c r="G83" s="6" t="inlineStr">
        <is>
          <t>E7</t>
        </is>
      </c>
      <c r="H83" s="9" t="inlineStr">
        <is>
          <t>—</t>
        </is>
      </c>
      <c r="I83" s="6" t="inlineStr">
        <is>
          <t>—</t>
        </is>
      </c>
      <c r="J83" s="6" t="inlineStr"/>
    </row>
    <row r="84">
      <c r="A84" s="10" t="inlineStr">
        <is>
          <t>pl.ebt</t>
        </is>
      </c>
      <c r="B84" s="8" t="inlineStr">
        <is>
          <t>PL</t>
        </is>
      </c>
      <c r="C84" s="8" t="inlineStr">
        <is>
          <t>ebt</t>
        </is>
      </c>
      <c r="D84" s="8" t="inlineStr">
        <is>
          <t>derived</t>
        </is>
      </c>
      <c r="E84" s="8" t="inlineStr">
        <is>
          <t>signed_either</t>
        </is>
      </c>
      <c r="F84" s="10" t="inlineStr">
        <is>
          <t>—</t>
        </is>
      </c>
      <c r="G84" s="8" t="inlineStr">
        <is>
          <t>E7</t>
        </is>
      </c>
      <c r="H84" s="10" t="inlineStr">
        <is>
          <t>—</t>
        </is>
      </c>
      <c r="I84" s="8" t="inlineStr">
        <is>
          <t>—</t>
        </is>
      </c>
      <c r="J84" s="8" t="inlineStr"/>
    </row>
    <row r="85">
      <c r="A85" s="9" t="inlineStr">
        <is>
          <t>pl.net_income</t>
        </is>
      </c>
      <c r="B85" s="6" t="inlineStr">
        <is>
          <t>PL</t>
        </is>
      </c>
      <c r="C85" s="6" t="inlineStr">
        <is>
          <t>net_income</t>
        </is>
      </c>
      <c r="D85" s="6" t="inlineStr">
        <is>
          <t>derived</t>
        </is>
      </c>
      <c r="E85" s="6" t="inlineStr">
        <is>
          <t>signed_either</t>
        </is>
      </c>
      <c r="F85" s="9" t="inlineStr">
        <is>
          <t>—</t>
        </is>
      </c>
      <c r="G85" s="6" t="inlineStr">
        <is>
          <t>E7</t>
        </is>
      </c>
      <c r="H85" s="9" t="inlineStr">
        <is>
          <t>—</t>
        </is>
      </c>
      <c r="I85" s="6" t="inlineStr">
        <is>
          <t>—</t>
        </is>
      </c>
      <c r="J85" s="6" t="inlineStr"/>
    </row>
    <row r="86">
      <c r="A86" s="10" t="inlineStr">
        <is>
          <t>pl.ebitda_adjusted</t>
        </is>
      </c>
      <c r="B86" s="8" t="inlineStr">
        <is>
          <t>PL</t>
        </is>
      </c>
      <c r="C86" s="8" t="inlineStr">
        <is>
          <t>adjusted</t>
        </is>
      </c>
      <c r="D86" s="8" t="inlineStr">
        <is>
          <t>derived</t>
        </is>
      </c>
      <c r="E86" s="8" t="inlineStr">
        <is>
          <t>signed_either</t>
        </is>
      </c>
      <c r="F86" s="10" t="inlineStr">
        <is>
          <t>—</t>
        </is>
      </c>
      <c r="G86" s="8" t="inlineStr">
        <is>
          <t>E7</t>
        </is>
      </c>
      <c r="H86" s="10" t="inlineStr">
        <is>
          <t>—</t>
        </is>
      </c>
      <c r="I86" s="8" t="inlineStr">
        <is>
          <t>—</t>
        </is>
      </c>
      <c r="J86" s="8" t="inlineStr">
        <is>
          <t>Esclude voci non_recurring_extraordinary</t>
        </is>
      </c>
    </row>
    <row r="87">
      <c r="A87" s="9" t="inlineStr">
        <is>
          <t>pl.ebit_adjusted</t>
        </is>
      </c>
      <c r="B87" s="6" t="inlineStr">
        <is>
          <t>PL</t>
        </is>
      </c>
      <c r="C87" s="6" t="inlineStr">
        <is>
          <t>adjusted</t>
        </is>
      </c>
      <c r="D87" s="6" t="inlineStr">
        <is>
          <t>derived</t>
        </is>
      </c>
      <c r="E87" s="6" t="inlineStr">
        <is>
          <t>signed_either</t>
        </is>
      </c>
      <c r="F87" s="9" t="inlineStr">
        <is>
          <t>—</t>
        </is>
      </c>
      <c r="G87" s="6" t="inlineStr">
        <is>
          <t>E7</t>
        </is>
      </c>
      <c r="H87" s="9" t="inlineStr">
        <is>
          <t>—</t>
        </is>
      </c>
      <c r="I87" s="6" t="inlineStr">
        <is>
          <t>—</t>
        </is>
      </c>
      <c r="J87" s="6" t="inlineStr">
        <is>
          <t>Esclude voci non_recurring_extraordinary + impairment</t>
        </is>
      </c>
    </row>
    <row r="88">
      <c r="A88" s="10" t="inlineStr">
        <is>
          <t>bs.fa.tangible.gross_open</t>
        </is>
      </c>
      <c r="B88" s="8" t="inlineStr">
        <is>
          <t>BS</t>
        </is>
      </c>
      <c r="C88" s="8" t="inlineStr">
        <is>
          <t>fa.tangible</t>
        </is>
      </c>
      <c r="D88" s="8" t="inlineStr">
        <is>
          <t>reference</t>
        </is>
      </c>
      <c r="E88" s="8" t="inlineStr">
        <is>
          <t>positive</t>
        </is>
      </c>
      <c r="F88" s="10" t="inlineStr">
        <is>
          <t>—</t>
        </is>
      </c>
      <c r="G88" s="8" t="inlineStr">
        <is>
          <t>E2</t>
        </is>
      </c>
      <c r="H88" s="10" t="inlineStr">
        <is>
          <t>—</t>
        </is>
      </c>
      <c r="I88" s="8" t="inlineStr">
        <is>
          <t>—</t>
        </is>
      </c>
      <c r="J88" s="8" t="inlineStr">
        <is>
          <t>Y0 actual + lag close</t>
        </is>
      </c>
    </row>
    <row r="89">
      <c r="A89" s="9" t="inlineStr">
        <is>
          <t>bs.fa.tangible.maintenance_capex</t>
        </is>
      </c>
      <c r="B89" s="6" t="inlineStr">
        <is>
          <t>BS</t>
        </is>
      </c>
      <c r="C89" s="6" t="inlineStr">
        <is>
          <t>fa.tangible</t>
        </is>
      </c>
      <c r="D89" s="6" t="inlineStr">
        <is>
          <t>driver</t>
        </is>
      </c>
      <c r="E89" s="6" t="inlineStr">
        <is>
          <t>positive</t>
        </is>
      </c>
      <c r="F89" s="9" t="inlineStr">
        <is>
          <t>capex_pct_revenue</t>
        </is>
      </c>
      <c r="G89" s="6" t="inlineStr">
        <is>
          <t>E2</t>
        </is>
      </c>
      <c r="H89" s="9" t="inlineStr">
        <is>
          <t>pl.rev.net</t>
        </is>
      </c>
      <c r="I89" s="6" t="inlineStr">
        <is>
          <t>recurring</t>
        </is>
      </c>
      <c r="J89" s="6" t="inlineStr"/>
    </row>
    <row r="90">
      <c r="A90" s="10" t="inlineStr">
        <is>
          <t>bs.fa.tangible.expansion_capex</t>
        </is>
      </c>
      <c r="B90" s="8" t="inlineStr">
        <is>
          <t>BS</t>
        </is>
      </c>
      <c r="C90" s="8" t="inlineStr">
        <is>
          <t>fa.tangible</t>
        </is>
      </c>
      <c r="D90" s="8" t="inlineStr">
        <is>
          <t>driver</t>
        </is>
      </c>
      <c r="E90" s="8" t="inlineStr">
        <is>
          <t>positive</t>
        </is>
      </c>
      <c r="F90" s="10" t="inlineStr">
        <is>
          <t>manual_schedule</t>
        </is>
      </c>
      <c r="G90" s="8" t="inlineStr">
        <is>
          <t>E2</t>
        </is>
      </c>
      <c r="H90" s="10" t="inlineStr">
        <is>
          <t>—</t>
        </is>
      </c>
      <c r="I90" s="8" t="inlineStr">
        <is>
          <t>recurring</t>
        </is>
      </c>
      <c r="J90" s="8" t="inlineStr">
        <is>
          <t>Alt: capex_per_unit</t>
        </is>
      </c>
    </row>
    <row r="91">
      <c r="A91" s="9" t="inlineStr">
        <is>
          <t>bs.fa.tangible.disposals_gross</t>
        </is>
      </c>
      <c r="B91" s="6" t="inlineStr">
        <is>
          <t>BS</t>
        </is>
      </c>
      <c r="C91" s="6" t="inlineStr">
        <is>
          <t>fa.tangible</t>
        </is>
      </c>
      <c r="D91" s="6" t="inlineStr">
        <is>
          <t>driver</t>
        </is>
      </c>
      <c r="E91" s="6" t="inlineStr">
        <is>
          <t>negative</t>
        </is>
      </c>
      <c r="F91" s="9" t="inlineStr">
        <is>
          <t>manual_zero</t>
        </is>
      </c>
      <c r="G91" s="6" t="inlineStr">
        <is>
          <t>E2</t>
        </is>
      </c>
      <c r="H91" s="9" t="inlineStr">
        <is>
          <t>—</t>
        </is>
      </c>
      <c r="I91" s="6" t="inlineStr">
        <is>
          <t>recurring</t>
        </is>
      </c>
      <c r="J91" s="6" t="inlineStr"/>
    </row>
    <row r="92">
      <c r="A92" s="10" t="inlineStr">
        <is>
          <t>bs.fa.tangible.acquired_via_ma</t>
        </is>
      </c>
      <c r="B92" s="8" t="inlineStr">
        <is>
          <t>BS</t>
        </is>
      </c>
      <c r="C92" s="8" t="inlineStr">
        <is>
          <t>fa.tangible</t>
        </is>
      </c>
      <c r="D92" s="8" t="inlineStr">
        <is>
          <t>placeholder</t>
        </is>
      </c>
      <c r="E92" s="8" t="inlineStr">
        <is>
          <t>positive</t>
        </is>
      </c>
      <c r="F92" s="10" t="inlineStr">
        <is>
          <t>manual_zero</t>
        </is>
      </c>
      <c r="G92" s="8" t="inlineStr">
        <is>
          <t>E2</t>
        </is>
      </c>
      <c r="H92" s="10" t="inlineStr">
        <is>
          <t>—</t>
        </is>
      </c>
      <c r="I92" s="8" t="inlineStr">
        <is>
          <t>non_recurring_extraordinary</t>
        </is>
      </c>
      <c r="J92" s="8" t="inlineStr">
        <is>
          <t>M&amp;A placeholder</t>
        </is>
      </c>
    </row>
    <row r="93">
      <c r="A93" s="9" t="inlineStr">
        <is>
          <t>bs.fa.tangible.divested_via_carve_out</t>
        </is>
      </c>
      <c r="B93" s="6" t="inlineStr">
        <is>
          <t>BS</t>
        </is>
      </c>
      <c r="C93" s="6" t="inlineStr">
        <is>
          <t>fa.tangible</t>
        </is>
      </c>
      <c r="D93" s="6" t="inlineStr">
        <is>
          <t>placeholder</t>
        </is>
      </c>
      <c r="E93" s="6" t="inlineStr">
        <is>
          <t>negative</t>
        </is>
      </c>
      <c r="F93" s="9" t="inlineStr">
        <is>
          <t>manual_zero</t>
        </is>
      </c>
      <c r="G93" s="6" t="inlineStr">
        <is>
          <t>E2</t>
        </is>
      </c>
      <c r="H93" s="9" t="inlineStr">
        <is>
          <t>—</t>
        </is>
      </c>
      <c r="I93" s="6" t="inlineStr">
        <is>
          <t>non_recurring_extraordinary</t>
        </is>
      </c>
      <c r="J93" s="6" t="inlineStr">
        <is>
          <t>Carve-out placeholder</t>
        </is>
      </c>
    </row>
    <row r="94">
      <c r="A94" s="10" t="inlineStr">
        <is>
          <t>bs.fa.tangible.gross_close</t>
        </is>
      </c>
      <c r="B94" s="8" t="inlineStr">
        <is>
          <t>BS</t>
        </is>
      </c>
      <c r="C94" s="8" t="inlineStr">
        <is>
          <t>fa.tangible</t>
        </is>
      </c>
      <c r="D94" s="8" t="inlineStr">
        <is>
          <t>derived</t>
        </is>
      </c>
      <c r="E94" s="8" t="inlineStr">
        <is>
          <t>positive</t>
        </is>
      </c>
      <c r="F94" s="10" t="inlineStr">
        <is>
          <t>gross_close_aggregation</t>
        </is>
      </c>
      <c r="G94" s="8" t="inlineStr">
        <is>
          <t>E2</t>
        </is>
      </c>
      <c r="H94" s="10" t="inlineStr">
        <is>
          <t>—</t>
        </is>
      </c>
      <c r="I94" s="8" t="inlineStr">
        <is>
          <t>—</t>
        </is>
      </c>
      <c r="J94" s="8" t="inlineStr"/>
    </row>
    <row r="95">
      <c r="A95" s="9" t="inlineStr">
        <is>
          <t>bs.fa.tangible.acc_depr_open</t>
        </is>
      </c>
      <c r="B95" s="6" t="inlineStr">
        <is>
          <t>BS</t>
        </is>
      </c>
      <c r="C95" s="6" t="inlineStr">
        <is>
          <t>fa.tangible</t>
        </is>
      </c>
      <c r="D95" s="6" t="inlineStr">
        <is>
          <t>reference</t>
        </is>
      </c>
      <c r="E95" s="6" t="inlineStr">
        <is>
          <t>negative</t>
        </is>
      </c>
      <c r="F95" s="9" t="inlineStr">
        <is>
          <t>—</t>
        </is>
      </c>
      <c r="G95" s="6" t="inlineStr">
        <is>
          <t>E2</t>
        </is>
      </c>
      <c r="H95" s="9" t="inlineStr">
        <is>
          <t>—</t>
        </is>
      </c>
      <c r="I95" s="6" t="inlineStr">
        <is>
          <t>—</t>
        </is>
      </c>
      <c r="J95" s="6" t="inlineStr"/>
    </row>
    <row r="96">
      <c r="A96" s="10" t="inlineStr">
        <is>
          <t>bs.fa.tangible.disposals_acc_depr</t>
        </is>
      </c>
      <c r="B96" s="8" t="inlineStr">
        <is>
          <t>BS</t>
        </is>
      </c>
      <c r="C96" s="8" t="inlineStr">
        <is>
          <t>fa.tangible</t>
        </is>
      </c>
      <c r="D96" s="8" t="inlineStr">
        <is>
          <t>driver</t>
        </is>
      </c>
      <c r="E96" s="8" t="inlineStr">
        <is>
          <t>positive</t>
        </is>
      </c>
      <c r="F96" s="10" t="inlineStr">
        <is>
          <t>manual_zero</t>
        </is>
      </c>
      <c r="G96" s="8" t="inlineStr">
        <is>
          <t>E2</t>
        </is>
      </c>
      <c r="H96" s="10" t="inlineStr">
        <is>
          <t>—</t>
        </is>
      </c>
      <c r="I96" s="8" t="inlineStr">
        <is>
          <t>recurring</t>
        </is>
      </c>
      <c r="J96" s="8" t="inlineStr"/>
    </row>
    <row r="97">
      <c r="A97" s="9" t="inlineStr">
        <is>
          <t>bs.fa.tangible.acc_depr_close</t>
        </is>
      </c>
      <c r="B97" s="6" t="inlineStr">
        <is>
          <t>BS</t>
        </is>
      </c>
      <c r="C97" s="6" t="inlineStr">
        <is>
          <t>fa.tangible</t>
        </is>
      </c>
      <c r="D97" s="6" t="inlineStr">
        <is>
          <t>derived</t>
        </is>
      </c>
      <c r="E97" s="6" t="inlineStr">
        <is>
          <t>negative</t>
        </is>
      </c>
      <c r="F97" s="9" t="inlineStr">
        <is>
          <t>acc_depr_close_aggregation</t>
        </is>
      </c>
      <c r="G97" s="6" t="inlineStr">
        <is>
          <t>E2</t>
        </is>
      </c>
      <c r="H97" s="9" t="inlineStr">
        <is>
          <t>—</t>
        </is>
      </c>
      <c r="I97" s="6" t="inlineStr">
        <is>
          <t>—</t>
        </is>
      </c>
      <c r="J97" s="6" t="inlineStr"/>
    </row>
    <row r="98">
      <c r="A98" s="10" t="inlineStr">
        <is>
          <t>bs.fa.tangible.net_close</t>
        </is>
      </c>
      <c r="B98" s="8" t="inlineStr">
        <is>
          <t>BS</t>
        </is>
      </c>
      <c r="C98" s="8" t="inlineStr">
        <is>
          <t>fa.tangible</t>
        </is>
      </c>
      <c r="D98" s="8" t="inlineStr">
        <is>
          <t>derived</t>
        </is>
      </c>
      <c r="E98" s="8" t="inlineStr">
        <is>
          <t>positive</t>
        </is>
      </c>
      <c r="F98" s="10" t="inlineStr">
        <is>
          <t>net_book_value</t>
        </is>
      </c>
      <c r="G98" s="8" t="inlineStr">
        <is>
          <t>E2</t>
        </is>
      </c>
      <c r="H98" s="10" t="inlineStr">
        <is>
          <t>—</t>
        </is>
      </c>
      <c r="I98" s="8" t="inlineStr">
        <is>
          <t>—</t>
        </is>
      </c>
      <c r="J98" s="8" t="inlineStr"/>
    </row>
    <row r="99">
      <c r="A99" s="9" t="inlineStr">
        <is>
          <t>bs.fa.intangible.gross_open</t>
        </is>
      </c>
      <c r="B99" s="6" t="inlineStr">
        <is>
          <t>BS</t>
        </is>
      </c>
      <c r="C99" s="6" t="inlineStr">
        <is>
          <t>fa.intangible</t>
        </is>
      </c>
      <c r="D99" s="6" t="inlineStr">
        <is>
          <t>reference</t>
        </is>
      </c>
      <c r="E99" s="6" t="inlineStr">
        <is>
          <t>positive</t>
        </is>
      </c>
      <c r="F99" s="9" t="inlineStr">
        <is>
          <t>—</t>
        </is>
      </c>
      <c r="G99" s="6" t="inlineStr">
        <is>
          <t>E2</t>
        </is>
      </c>
      <c r="H99" s="9" t="inlineStr">
        <is>
          <t>—</t>
        </is>
      </c>
      <c r="I99" s="6" t="inlineStr">
        <is>
          <t>—</t>
        </is>
      </c>
      <c r="J99" s="6" t="inlineStr"/>
    </row>
    <row r="100">
      <c r="A100" s="10" t="inlineStr">
        <is>
          <t>bs.fa.intangible.software_capex</t>
        </is>
      </c>
      <c r="B100" s="8" t="inlineStr">
        <is>
          <t>BS</t>
        </is>
      </c>
      <c r="C100" s="8" t="inlineStr">
        <is>
          <t>fa.intangible</t>
        </is>
      </c>
      <c r="D100" s="8" t="inlineStr">
        <is>
          <t>driver</t>
        </is>
      </c>
      <c r="E100" s="8" t="inlineStr">
        <is>
          <t>positive</t>
        </is>
      </c>
      <c r="F100" s="10" t="inlineStr">
        <is>
          <t>historical_avg_growth</t>
        </is>
      </c>
      <c r="G100" s="8" t="inlineStr">
        <is>
          <t>E2</t>
        </is>
      </c>
      <c r="H100" s="10" t="inlineStr">
        <is>
          <t>—</t>
        </is>
      </c>
      <c r="I100" s="8" t="inlineStr">
        <is>
          <t>recurring</t>
        </is>
      </c>
      <c r="J100" s="8" t="inlineStr">
        <is>
          <t>Alt: pct_net_revenue (SaaS R&amp;D capitalized)</t>
        </is>
      </c>
    </row>
    <row r="101">
      <c r="A101" s="9" t="inlineStr">
        <is>
          <t>bs.fa.intangible.acquired_via_ma</t>
        </is>
      </c>
      <c r="B101" s="6" t="inlineStr">
        <is>
          <t>BS</t>
        </is>
      </c>
      <c r="C101" s="6" t="inlineStr">
        <is>
          <t>fa.intangible</t>
        </is>
      </c>
      <c r="D101" s="6" t="inlineStr">
        <is>
          <t>placeholder</t>
        </is>
      </c>
      <c r="E101" s="6" t="inlineStr">
        <is>
          <t>positive</t>
        </is>
      </c>
      <c r="F101" s="9" t="inlineStr">
        <is>
          <t>manual_zero</t>
        </is>
      </c>
      <c r="G101" s="6" t="inlineStr">
        <is>
          <t>E2</t>
        </is>
      </c>
      <c r="H101" s="9" t="inlineStr">
        <is>
          <t>—</t>
        </is>
      </c>
      <c r="I101" s="6" t="inlineStr">
        <is>
          <t>non_recurring_extraordinary</t>
        </is>
      </c>
      <c r="J101" s="6" t="inlineStr"/>
    </row>
    <row r="102">
      <c r="A102" s="10" t="inlineStr">
        <is>
          <t>bs.fa.intangible.disposals_gross</t>
        </is>
      </c>
      <c r="B102" s="8" t="inlineStr">
        <is>
          <t>BS</t>
        </is>
      </c>
      <c r="C102" s="8" t="inlineStr">
        <is>
          <t>fa.intangible</t>
        </is>
      </c>
      <c r="D102" s="8" t="inlineStr">
        <is>
          <t>driver</t>
        </is>
      </c>
      <c r="E102" s="8" t="inlineStr">
        <is>
          <t>negative</t>
        </is>
      </c>
      <c r="F102" s="10" t="inlineStr">
        <is>
          <t>manual_zero</t>
        </is>
      </c>
      <c r="G102" s="8" t="inlineStr">
        <is>
          <t>E2</t>
        </is>
      </c>
      <c r="H102" s="10" t="inlineStr">
        <is>
          <t>—</t>
        </is>
      </c>
      <c r="I102" s="8" t="inlineStr">
        <is>
          <t>recurring</t>
        </is>
      </c>
      <c r="J102" s="8" t="inlineStr"/>
    </row>
    <row r="103">
      <c r="A103" s="9" t="inlineStr">
        <is>
          <t>bs.fa.intangible.gross_close</t>
        </is>
      </c>
      <c r="B103" s="6" t="inlineStr">
        <is>
          <t>BS</t>
        </is>
      </c>
      <c r="C103" s="6" t="inlineStr">
        <is>
          <t>fa.intangible</t>
        </is>
      </c>
      <c r="D103" s="6" t="inlineStr">
        <is>
          <t>derived</t>
        </is>
      </c>
      <c r="E103" s="6" t="inlineStr">
        <is>
          <t>positive</t>
        </is>
      </c>
      <c r="F103" s="9" t="inlineStr">
        <is>
          <t>gross_close_aggregation</t>
        </is>
      </c>
      <c r="G103" s="6" t="inlineStr">
        <is>
          <t>E2</t>
        </is>
      </c>
      <c r="H103" s="9" t="inlineStr">
        <is>
          <t>—</t>
        </is>
      </c>
      <c r="I103" s="6" t="inlineStr">
        <is>
          <t>—</t>
        </is>
      </c>
      <c r="J103" s="6" t="inlineStr"/>
    </row>
    <row r="104">
      <c r="A104" s="10" t="inlineStr">
        <is>
          <t>bs.fa.intangible.acc_amort_open</t>
        </is>
      </c>
      <c r="B104" s="8" t="inlineStr">
        <is>
          <t>BS</t>
        </is>
      </c>
      <c r="C104" s="8" t="inlineStr">
        <is>
          <t>fa.intangible</t>
        </is>
      </c>
      <c r="D104" s="8" t="inlineStr">
        <is>
          <t>reference</t>
        </is>
      </c>
      <c r="E104" s="8" t="inlineStr">
        <is>
          <t>negative</t>
        </is>
      </c>
      <c r="F104" s="10" t="inlineStr">
        <is>
          <t>—</t>
        </is>
      </c>
      <c r="G104" s="8" t="inlineStr">
        <is>
          <t>E2</t>
        </is>
      </c>
      <c r="H104" s="10" t="inlineStr">
        <is>
          <t>—</t>
        </is>
      </c>
      <c r="I104" s="8" t="inlineStr">
        <is>
          <t>—</t>
        </is>
      </c>
      <c r="J104" s="8" t="inlineStr"/>
    </row>
    <row r="105">
      <c r="A105" s="9" t="inlineStr">
        <is>
          <t>bs.fa.intangible.disposals_acc_amort</t>
        </is>
      </c>
      <c r="B105" s="6" t="inlineStr">
        <is>
          <t>BS</t>
        </is>
      </c>
      <c r="C105" s="6" t="inlineStr">
        <is>
          <t>fa.intangible</t>
        </is>
      </c>
      <c r="D105" s="6" t="inlineStr">
        <is>
          <t>driver</t>
        </is>
      </c>
      <c r="E105" s="6" t="inlineStr">
        <is>
          <t>positive</t>
        </is>
      </c>
      <c r="F105" s="9" t="inlineStr">
        <is>
          <t>manual_zero</t>
        </is>
      </c>
      <c r="G105" s="6" t="inlineStr">
        <is>
          <t>E2</t>
        </is>
      </c>
      <c r="H105" s="9" t="inlineStr">
        <is>
          <t>—</t>
        </is>
      </c>
      <c r="I105" s="6" t="inlineStr">
        <is>
          <t>recurring</t>
        </is>
      </c>
      <c r="J105" s="6" t="inlineStr"/>
    </row>
    <row r="106">
      <c r="A106" s="10" t="inlineStr">
        <is>
          <t>bs.fa.intangible.acc_amort_close</t>
        </is>
      </c>
      <c r="B106" s="8" t="inlineStr">
        <is>
          <t>BS</t>
        </is>
      </c>
      <c r="C106" s="8" t="inlineStr">
        <is>
          <t>fa.intangible</t>
        </is>
      </c>
      <c r="D106" s="8" t="inlineStr">
        <is>
          <t>derived</t>
        </is>
      </c>
      <c r="E106" s="8" t="inlineStr">
        <is>
          <t>negative</t>
        </is>
      </c>
      <c r="F106" s="10" t="inlineStr">
        <is>
          <t>acc_depr_close_aggregation</t>
        </is>
      </c>
      <c r="G106" s="8" t="inlineStr">
        <is>
          <t>E2</t>
        </is>
      </c>
      <c r="H106" s="10" t="inlineStr">
        <is>
          <t>—</t>
        </is>
      </c>
      <c r="I106" s="8" t="inlineStr">
        <is>
          <t>—</t>
        </is>
      </c>
      <c r="J106" s="8" t="inlineStr"/>
    </row>
    <row r="107">
      <c r="A107" s="9" t="inlineStr">
        <is>
          <t>bs.fa.intangible.net_close</t>
        </is>
      </c>
      <c r="B107" s="6" t="inlineStr">
        <is>
          <t>BS</t>
        </is>
      </c>
      <c r="C107" s="6" t="inlineStr">
        <is>
          <t>fa.intangible</t>
        </is>
      </c>
      <c r="D107" s="6" t="inlineStr">
        <is>
          <t>derived</t>
        </is>
      </c>
      <c r="E107" s="6" t="inlineStr">
        <is>
          <t>positive</t>
        </is>
      </c>
      <c r="F107" s="9" t="inlineStr">
        <is>
          <t>net_book_value</t>
        </is>
      </c>
      <c r="G107" s="6" t="inlineStr">
        <is>
          <t>E2</t>
        </is>
      </c>
      <c r="H107" s="9" t="inlineStr">
        <is>
          <t>—</t>
        </is>
      </c>
      <c r="I107" s="6" t="inlineStr">
        <is>
          <t>—</t>
        </is>
      </c>
      <c r="J107" s="6" t="inlineStr"/>
    </row>
    <row r="108">
      <c r="A108" s="10" t="inlineStr">
        <is>
          <t>bs.fa.intangible.goodwill_open</t>
        </is>
      </c>
      <c r="B108" s="8" t="inlineStr">
        <is>
          <t>BS</t>
        </is>
      </c>
      <c r="C108" s="8" t="inlineStr">
        <is>
          <t>fa.intangible</t>
        </is>
      </c>
      <c r="D108" s="8" t="inlineStr">
        <is>
          <t>reference</t>
        </is>
      </c>
      <c r="E108" s="8" t="inlineStr">
        <is>
          <t>positive</t>
        </is>
      </c>
      <c r="F108" s="10" t="inlineStr">
        <is>
          <t>—</t>
        </is>
      </c>
      <c r="G108" s="8" t="inlineStr">
        <is>
          <t>E2</t>
        </is>
      </c>
      <c r="H108" s="10" t="inlineStr">
        <is>
          <t>—</t>
        </is>
      </c>
      <c r="I108" s="8" t="inlineStr">
        <is>
          <t>—</t>
        </is>
      </c>
      <c r="J108" s="8" t="inlineStr"/>
    </row>
    <row r="109">
      <c r="A109" s="9" t="inlineStr">
        <is>
          <t>bs.fa.intangible.goodwill_acquisitions</t>
        </is>
      </c>
      <c r="B109" s="6" t="inlineStr">
        <is>
          <t>BS</t>
        </is>
      </c>
      <c r="C109" s="6" t="inlineStr">
        <is>
          <t>fa.intangible</t>
        </is>
      </c>
      <c r="D109" s="6" t="inlineStr">
        <is>
          <t>placeholder</t>
        </is>
      </c>
      <c r="E109" s="6" t="inlineStr">
        <is>
          <t>positive</t>
        </is>
      </c>
      <c r="F109" s="9" t="inlineStr">
        <is>
          <t>manual_zero</t>
        </is>
      </c>
      <c r="G109" s="6" t="inlineStr">
        <is>
          <t>E2</t>
        </is>
      </c>
      <c r="H109" s="9" t="inlineStr">
        <is>
          <t>—</t>
        </is>
      </c>
      <c r="I109" s="6" t="inlineStr">
        <is>
          <t>non_recurring_extraordinary</t>
        </is>
      </c>
      <c r="J109" s="6" t="inlineStr"/>
    </row>
    <row r="110">
      <c r="A110" s="10" t="inlineStr">
        <is>
          <t>bs.fa.intangible.goodwill_close</t>
        </is>
      </c>
      <c r="B110" s="8" t="inlineStr">
        <is>
          <t>BS</t>
        </is>
      </c>
      <c r="C110" s="8" t="inlineStr">
        <is>
          <t>fa.intangible</t>
        </is>
      </c>
      <c r="D110" s="8" t="inlineStr">
        <is>
          <t>derived</t>
        </is>
      </c>
      <c r="E110" s="8" t="inlineStr">
        <is>
          <t>positive</t>
        </is>
      </c>
      <c r="F110" s="10" t="inlineStr">
        <is>
          <t>—</t>
        </is>
      </c>
      <c r="G110" s="8" t="inlineStr">
        <is>
          <t>E2</t>
        </is>
      </c>
      <c r="H110" s="10" t="inlineStr">
        <is>
          <t>—</t>
        </is>
      </c>
      <c r="I110" s="8" t="inlineStr">
        <is>
          <t>—</t>
        </is>
      </c>
      <c r="J110" s="8">
        <f> open + acquisitions - impairment.goodwill (no acc_amort)</f>
        <v/>
      </c>
    </row>
    <row r="111">
      <c r="A111" s="9" t="inlineStr">
        <is>
          <t>bs.fa.rou.gross_open</t>
        </is>
      </c>
      <c r="B111" s="6" t="inlineStr">
        <is>
          <t>BS</t>
        </is>
      </c>
      <c r="C111" s="6" t="inlineStr">
        <is>
          <t>fa.rou</t>
        </is>
      </c>
      <c r="D111" s="6" t="inlineStr">
        <is>
          <t>reference</t>
        </is>
      </c>
      <c r="E111" s="6" t="inlineStr">
        <is>
          <t>positive</t>
        </is>
      </c>
      <c r="F111" s="9" t="inlineStr">
        <is>
          <t>—</t>
        </is>
      </c>
      <c r="G111" s="6" t="inlineStr">
        <is>
          <t>E2</t>
        </is>
      </c>
      <c r="H111" s="9" t="inlineStr">
        <is>
          <t>—</t>
        </is>
      </c>
      <c r="I111" s="6" t="inlineStr">
        <is>
          <t>—</t>
        </is>
      </c>
      <c r="J111" s="6" t="inlineStr"/>
    </row>
    <row r="112">
      <c r="A112" s="10" t="inlineStr">
        <is>
          <t>bs.fa.rou.new_contracts</t>
        </is>
      </c>
      <c r="B112" s="8" t="inlineStr">
        <is>
          <t>BS</t>
        </is>
      </c>
      <c r="C112" s="8" t="inlineStr">
        <is>
          <t>fa.rou</t>
        </is>
      </c>
      <c r="D112" s="8" t="inlineStr">
        <is>
          <t>driver</t>
        </is>
      </c>
      <c r="E112" s="8" t="inlineStr">
        <is>
          <t>positive</t>
        </is>
      </c>
      <c r="F112" s="10" t="inlineStr">
        <is>
          <t>rou_new_leases_pct_base</t>
        </is>
      </c>
      <c r="G112" s="8" t="inlineStr">
        <is>
          <t>E2</t>
        </is>
      </c>
      <c r="H112" s="10" t="inlineStr">
        <is>
          <t>—</t>
        </is>
      </c>
      <c r="I112" s="8" t="inlineStr">
        <is>
          <t>recurring</t>
        </is>
      </c>
      <c r="J112" s="8" t="inlineStr">
        <is>
          <t>→ deriva lease_liability.new</t>
        </is>
      </c>
    </row>
    <row r="113">
      <c r="A113" s="9" t="inlineStr">
        <is>
          <t>bs.fa.rou.terminations_gross</t>
        </is>
      </c>
      <c r="B113" s="6" t="inlineStr">
        <is>
          <t>BS</t>
        </is>
      </c>
      <c r="C113" s="6" t="inlineStr">
        <is>
          <t>fa.rou</t>
        </is>
      </c>
      <c r="D113" s="6" t="inlineStr">
        <is>
          <t>driver</t>
        </is>
      </c>
      <c r="E113" s="6" t="inlineStr">
        <is>
          <t>negative</t>
        </is>
      </c>
      <c r="F113" s="9" t="inlineStr">
        <is>
          <t>manual_zero</t>
        </is>
      </c>
      <c r="G113" s="6" t="inlineStr">
        <is>
          <t>E2</t>
        </is>
      </c>
      <c r="H113" s="9" t="inlineStr">
        <is>
          <t>—</t>
        </is>
      </c>
      <c r="I113" s="6" t="inlineStr">
        <is>
          <t>recurring</t>
        </is>
      </c>
      <c r="J113" s="6" t="inlineStr"/>
    </row>
    <row r="114">
      <c r="A114" s="10" t="inlineStr">
        <is>
          <t>bs.fa.rou.modifications</t>
        </is>
      </c>
      <c r="B114" s="8" t="inlineStr">
        <is>
          <t>BS</t>
        </is>
      </c>
      <c r="C114" s="8" t="inlineStr">
        <is>
          <t>fa.rou</t>
        </is>
      </c>
      <c r="D114" s="8" t="inlineStr">
        <is>
          <t>driver</t>
        </is>
      </c>
      <c r="E114" s="8" t="inlineStr">
        <is>
          <t>signed_either</t>
        </is>
      </c>
      <c r="F114" s="10" t="inlineStr">
        <is>
          <t>manual_zero</t>
        </is>
      </c>
      <c r="G114" s="8" t="inlineStr">
        <is>
          <t>E2</t>
        </is>
      </c>
      <c r="H114" s="10" t="inlineStr">
        <is>
          <t>—</t>
        </is>
      </c>
      <c r="I114" s="8" t="inlineStr">
        <is>
          <t>recurring</t>
        </is>
      </c>
      <c r="J114" s="8" t="inlineStr"/>
    </row>
    <row r="115">
      <c r="A115" s="9" t="inlineStr">
        <is>
          <t>bs.fa.rou.gross_close</t>
        </is>
      </c>
      <c r="B115" s="6" t="inlineStr">
        <is>
          <t>BS</t>
        </is>
      </c>
      <c r="C115" s="6" t="inlineStr">
        <is>
          <t>fa.rou</t>
        </is>
      </c>
      <c r="D115" s="6" t="inlineStr">
        <is>
          <t>derived</t>
        </is>
      </c>
      <c r="E115" s="6" t="inlineStr">
        <is>
          <t>positive</t>
        </is>
      </c>
      <c r="F115" s="9" t="inlineStr">
        <is>
          <t>gross_close_aggregation</t>
        </is>
      </c>
      <c r="G115" s="6" t="inlineStr">
        <is>
          <t>E2</t>
        </is>
      </c>
      <c r="H115" s="9" t="inlineStr">
        <is>
          <t>—</t>
        </is>
      </c>
      <c r="I115" s="6" t="inlineStr">
        <is>
          <t>—</t>
        </is>
      </c>
      <c r="J115" s="6" t="inlineStr"/>
    </row>
    <row r="116">
      <c r="A116" s="10" t="inlineStr">
        <is>
          <t>bs.fa.rou.acc_depr_open</t>
        </is>
      </c>
      <c r="B116" s="8" t="inlineStr">
        <is>
          <t>BS</t>
        </is>
      </c>
      <c r="C116" s="8" t="inlineStr">
        <is>
          <t>fa.rou</t>
        </is>
      </c>
      <c r="D116" s="8" t="inlineStr">
        <is>
          <t>reference</t>
        </is>
      </c>
      <c r="E116" s="8" t="inlineStr">
        <is>
          <t>negative</t>
        </is>
      </c>
      <c r="F116" s="10" t="inlineStr">
        <is>
          <t>—</t>
        </is>
      </c>
      <c r="G116" s="8" t="inlineStr">
        <is>
          <t>E2</t>
        </is>
      </c>
      <c r="H116" s="10" t="inlineStr">
        <is>
          <t>—</t>
        </is>
      </c>
      <c r="I116" s="8" t="inlineStr">
        <is>
          <t>—</t>
        </is>
      </c>
      <c r="J116" s="8" t="inlineStr"/>
    </row>
    <row r="117">
      <c r="A117" s="9" t="inlineStr">
        <is>
          <t>bs.fa.rou.terminations_acc_depr</t>
        </is>
      </c>
      <c r="B117" s="6" t="inlineStr">
        <is>
          <t>BS</t>
        </is>
      </c>
      <c r="C117" s="6" t="inlineStr">
        <is>
          <t>fa.rou</t>
        </is>
      </c>
      <c r="D117" s="6" t="inlineStr">
        <is>
          <t>driver</t>
        </is>
      </c>
      <c r="E117" s="6" t="inlineStr">
        <is>
          <t>positive</t>
        </is>
      </c>
      <c r="F117" s="9" t="inlineStr">
        <is>
          <t>manual_zero</t>
        </is>
      </c>
      <c r="G117" s="6" t="inlineStr">
        <is>
          <t>E2</t>
        </is>
      </c>
      <c r="H117" s="9" t="inlineStr">
        <is>
          <t>—</t>
        </is>
      </c>
      <c r="I117" s="6" t="inlineStr">
        <is>
          <t>recurring</t>
        </is>
      </c>
      <c r="J117" s="6" t="inlineStr"/>
    </row>
    <row r="118">
      <c r="A118" s="10" t="inlineStr">
        <is>
          <t>bs.fa.rou.acc_depr_close</t>
        </is>
      </c>
      <c r="B118" s="8" t="inlineStr">
        <is>
          <t>BS</t>
        </is>
      </c>
      <c r="C118" s="8" t="inlineStr">
        <is>
          <t>fa.rou</t>
        </is>
      </c>
      <c r="D118" s="8" t="inlineStr">
        <is>
          <t>derived</t>
        </is>
      </c>
      <c r="E118" s="8" t="inlineStr">
        <is>
          <t>negative</t>
        </is>
      </c>
      <c r="F118" s="10" t="inlineStr">
        <is>
          <t>acc_depr_close_aggregation</t>
        </is>
      </c>
      <c r="G118" s="8" t="inlineStr">
        <is>
          <t>E2</t>
        </is>
      </c>
      <c r="H118" s="10" t="inlineStr">
        <is>
          <t>—</t>
        </is>
      </c>
      <c r="I118" s="8" t="inlineStr">
        <is>
          <t>—</t>
        </is>
      </c>
      <c r="J118" s="8" t="inlineStr"/>
    </row>
    <row r="119">
      <c r="A119" s="9" t="inlineStr">
        <is>
          <t>bs.fa.rou.net_close</t>
        </is>
      </c>
      <c r="B119" s="6" t="inlineStr">
        <is>
          <t>BS</t>
        </is>
      </c>
      <c r="C119" s="6" t="inlineStr">
        <is>
          <t>fa.rou</t>
        </is>
      </c>
      <c r="D119" s="6" t="inlineStr">
        <is>
          <t>derived</t>
        </is>
      </c>
      <c r="E119" s="6" t="inlineStr">
        <is>
          <t>positive</t>
        </is>
      </c>
      <c r="F119" s="9" t="inlineStr">
        <is>
          <t>net_book_value</t>
        </is>
      </c>
      <c r="G119" s="6" t="inlineStr">
        <is>
          <t>E2</t>
        </is>
      </c>
      <c r="H119" s="9" t="inlineStr">
        <is>
          <t>—</t>
        </is>
      </c>
      <c r="I119" s="6" t="inlineStr">
        <is>
          <t>—</t>
        </is>
      </c>
      <c r="J119" s="6" t="inlineStr"/>
    </row>
    <row r="120">
      <c r="A120" s="10" t="inlineStr">
        <is>
          <t>bs.fa.investment_property.gross_open</t>
        </is>
      </c>
      <c r="B120" s="8" t="inlineStr">
        <is>
          <t>BS</t>
        </is>
      </c>
      <c r="C120" s="8" t="inlineStr">
        <is>
          <t>fa.investment_property</t>
        </is>
      </c>
      <c r="D120" s="8" t="inlineStr">
        <is>
          <t>reference</t>
        </is>
      </c>
      <c r="E120" s="8" t="inlineStr">
        <is>
          <t>positive</t>
        </is>
      </c>
      <c r="F120" s="10" t="inlineStr">
        <is>
          <t>—</t>
        </is>
      </c>
      <c r="G120" s="8" t="inlineStr">
        <is>
          <t>E2</t>
        </is>
      </c>
      <c r="H120" s="10" t="inlineStr">
        <is>
          <t>—</t>
        </is>
      </c>
      <c r="I120" s="8" t="inlineStr">
        <is>
          <t>—</t>
        </is>
      </c>
      <c r="J120" s="8" t="inlineStr">
        <is>
          <t>IAS 40 FV model</t>
        </is>
      </c>
    </row>
    <row r="121">
      <c r="A121" s="9" t="inlineStr">
        <is>
          <t>bs.fa.investment_property.acquisitions</t>
        </is>
      </c>
      <c r="B121" s="6" t="inlineStr">
        <is>
          <t>BS</t>
        </is>
      </c>
      <c r="C121" s="6" t="inlineStr">
        <is>
          <t>fa.investment_property</t>
        </is>
      </c>
      <c r="D121" s="6" t="inlineStr">
        <is>
          <t>driver</t>
        </is>
      </c>
      <c r="E121" s="6" t="inlineStr">
        <is>
          <t>positive</t>
        </is>
      </c>
      <c r="F121" s="9" t="inlineStr">
        <is>
          <t>manual_zero</t>
        </is>
      </c>
      <c r="G121" s="6" t="inlineStr">
        <is>
          <t>E2</t>
        </is>
      </c>
      <c r="H121" s="9" t="inlineStr">
        <is>
          <t>—</t>
        </is>
      </c>
      <c r="I121" s="6" t="inlineStr">
        <is>
          <t>recurring</t>
        </is>
      </c>
      <c r="J121" s="6" t="inlineStr"/>
    </row>
    <row r="122">
      <c r="A122" s="10" t="inlineStr">
        <is>
          <t>bs.fa.investment_property.disposals</t>
        </is>
      </c>
      <c r="B122" s="8" t="inlineStr">
        <is>
          <t>BS</t>
        </is>
      </c>
      <c r="C122" s="8" t="inlineStr">
        <is>
          <t>fa.investment_property</t>
        </is>
      </c>
      <c r="D122" s="8" t="inlineStr">
        <is>
          <t>driver</t>
        </is>
      </c>
      <c r="E122" s="8" t="inlineStr">
        <is>
          <t>negative</t>
        </is>
      </c>
      <c r="F122" s="10" t="inlineStr">
        <is>
          <t>manual_zero</t>
        </is>
      </c>
      <c r="G122" s="8" t="inlineStr">
        <is>
          <t>E2</t>
        </is>
      </c>
      <c r="H122" s="10" t="inlineStr">
        <is>
          <t>—</t>
        </is>
      </c>
      <c r="I122" s="8" t="inlineStr">
        <is>
          <t>recurring</t>
        </is>
      </c>
      <c r="J122" s="8" t="inlineStr"/>
    </row>
    <row r="123">
      <c r="A123" s="9" t="inlineStr">
        <is>
          <t>bs.fa.investment_property.fv_revaluation</t>
        </is>
      </c>
      <c r="B123" s="6" t="inlineStr">
        <is>
          <t>BS</t>
        </is>
      </c>
      <c r="C123" s="6" t="inlineStr">
        <is>
          <t>fa.investment_property</t>
        </is>
      </c>
      <c r="D123" s="6" t="inlineStr">
        <is>
          <t>driver</t>
        </is>
      </c>
      <c r="E123" s="6" t="inlineStr">
        <is>
          <t>signed_either</t>
        </is>
      </c>
      <c r="F123" s="9" t="inlineStr">
        <is>
          <t>manual_zero</t>
        </is>
      </c>
      <c r="G123" s="6" t="inlineStr">
        <is>
          <t>E2</t>
        </is>
      </c>
      <c r="H123" s="9" t="inlineStr">
        <is>
          <t>—</t>
        </is>
      </c>
      <c r="I123" s="6" t="inlineStr">
        <is>
          <t>recurring</t>
        </is>
      </c>
      <c r="J123" s="6" t="inlineStr">
        <is>
          <t>→ flussa a P&amp;L (FV gain/loss)</t>
        </is>
      </c>
    </row>
    <row r="124">
      <c r="A124" s="10" t="inlineStr">
        <is>
          <t>bs.fa.investment_property.improvements</t>
        </is>
      </c>
      <c r="B124" s="8" t="inlineStr">
        <is>
          <t>BS</t>
        </is>
      </c>
      <c r="C124" s="8" t="inlineStr">
        <is>
          <t>fa.investment_property</t>
        </is>
      </c>
      <c r="D124" s="8" t="inlineStr">
        <is>
          <t>driver</t>
        </is>
      </c>
      <c r="E124" s="8" t="inlineStr">
        <is>
          <t>positive</t>
        </is>
      </c>
      <c r="F124" s="10" t="inlineStr">
        <is>
          <t>manual_zero</t>
        </is>
      </c>
      <c r="G124" s="8" t="inlineStr">
        <is>
          <t>E2</t>
        </is>
      </c>
      <c r="H124" s="10" t="inlineStr">
        <is>
          <t>—</t>
        </is>
      </c>
      <c r="I124" s="8" t="inlineStr">
        <is>
          <t>recurring</t>
        </is>
      </c>
      <c r="J124" s="8" t="inlineStr"/>
    </row>
    <row r="125">
      <c r="A125" s="9" t="inlineStr">
        <is>
          <t>bs.fa.investment_property.gross_close</t>
        </is>
      </c>
      <c r="B125" s="6" t="inlineStr">
        <is>
          <t>BS</t>
        </is>
      </c>
      <c r="C125" s="6" t="inlineStr">
        <is>
          <t>fa.investment_property</t>
        </is>
      </c>
      <c r="D125" s="6" t="inlineStr">
        <is>
          <t>derived</t>
        </is>
      </c>
      <c r="E125" s="6" t="inlineStr">
        <is>
          <t>positive</t>
        </is>
      </c>
      <c r="F125" s="9" t="inlineStr">
        <is>
          <t>—</t>
        </is>
      </c>
      <c r="G125" s="6" t="inlineStr">
        <is>
          <t>E2</t>
        </is>
      </c>
      <c r="H125" s="9" t="inlineStr">
        <is>
          <t>—</t>
        </is>
      </c>
      <c r="I125" s="6" t="inlineStr">
        <is>
          <t>—</t>
        </is>
      </c>
      <c r="J125" s="6" t="inlineStr"/>
    </row>
    <row r="126">
      <c r="A126" s="10" t="inlineStr">
        <is>
          <t>bs.fa.financial.balance_open</t>
        </is>
      </c>
      <c r="B126" s="8" t="inlineStr">
        <is>
          <t>BS</t>
        </is>
      </c>
      <c r="C126" s="8" t="inlineStr">
        <is>
          <t>fa.financial</t>
        </is>
      </c>
      <c r="D126" s="8" t="inlineStr">
        <is>
          <t>reference</t>
        </is>
      </c>
      <c r="E126" s="8" t="inlineStr">
        <is>
          <t>positive</t>
        </is>
      </c>
      <c r="F126" s="10" t="inlineStr">
        <is>
          <t>—</t>
        </is>
      </c>
      <c r="G126" s="8" t="inlineStr">
        <is>
          <t>E2</t>
        </is>
      </c>
      <c r="H126" s="10" t="inlineStr">
        <is>
          <t>—</t>
        </is>
      </c>
      <c r="I126" s="8" t="inlineStr">
        <is>
          <t>—</t>
        </is>
      </c>
      <c r="J126" s="8" t="inlineStr">
        <is>
          <t>Aggiunta (critica 3.7 Doc 1)</t>
        </is>
      </c>
    </row>
    <row r="127">
      <c r="A127" s="9" t="inlineStr">
        <is>
          <t>bs.fa.financial.investments_movement</t>
        </is>
      </c>
      <c r="B127" s="6" t="inlineStr">
        <is>
          <t>BS</t>
        </is>
      </c>
      <c r="C127" s="6" t="inlineStr">
        <is>
          <t>fa.financial</t>
        </is>
      </c>
      <c r="D127" s="6" t="inlineStr">
        <is>
          <t>driver</t>
        </is>
      </c>
      <c r="E127" s="6" t="inlineStr">
        <is>
          <t>signed_either</t>
        </is>
      </c>
      <c r="F127" s="9" t="inlineStr">
        <is>
          <t>manual_schedule</t>
        </is>
      </c>
      <c r="G127" s="6" t="inlineStr">
        <is>
          <t>E2</t>
        </is>
      </c>
      <c r="H127" s="9" t="inlineStr">
        <is>
          <t>—</t>
        </is>
      </c>
      <c r="I127" s="6" t="inlineStr">
        <is>
          <t>recurring</t>
        </is>
      </c>
      <c r="J127" s="6" t="inlineStr"/>
    </row>
    <row r="128">
      <c r="A128" s="10" t="inlineStr">
        <is>
          <t>bs.fa.financial.bonds_amc_movement</t>
        </is>
      </c>
      <c r="B128" s="8" t="inlineStr">
        <is>
          <t>BS</t>
        </is>
      </c>
      <c r="C128" s="8" t="inlineStr">
        <is>
          <t>fa.financial</t>
        </is>
      </c>
      <c r="D128" s="8" t="inlineStr">
        <is>
          <t>driver</t>
        </is>
      </c>
      <c r="E128" s="8" t="inlineStr">
        <is>
          <t>signed_either</t>
        </is>
      </c>
      <c r="F128" s="10" t="inlineStr">
        <is>
          <t>manual_zero</t>
        </is>
      </c>
      <c r="G128" s="8" t="inlineStr">
        <is>
          <t>E2</t>
        </is>
      </c>
      <c r="H128" s="10" t="inlineStr">
        <is>
          <t>—</t>
        </is>
      </c>
      <c r="I128" s="8" t="inlineStr">
        <is>
          <t>recurring</t>
        </is>
      </c>
      <c r="J128" s="8" t="inlineStr"/>
    </row>
    <row r="129">
      <c r="A129" s="9" t="inlineStr">
        <is>
          <t>bs.fa.financial.fvtpl_movement</t>
        </is>
      </c>
      <c r="B129" s="6" t="inlineStr">
        <is>
          <t>BS</t>
        </is>
      </c>
      <c r="C129" s="6" t="inlineStr">
        <is>
          <t>fa.financial</t>
        </is>
      </c>
      <c r="D129" s="6" t="inlineStr">
        <is>
          <t>driver</t>
        </is>
      </c>
      <c r="E129" s="6" t="inlineStr">
        <is>
          <t>signed_either</t>
        </is>
      </c>
      <c r="F129" s="9" t="inlineStr">
        <is>
          <t>manual_zero</t>
        </is>
      </c>
      <c r="G129" s="6" t="inlineStr">
        <is>
          <t>E2</t>
        </is>
      </c>
      <c r="H129" s="9" t="inlineStr">
        <is>
          <t>—</t>
        </is>
      </c>
      <c r="I129" s="6" t="inlineStr">
        <is>
          <t>recurring</t>
        </is>
      </c>
      <c r="J129" s="6" t="inlineStr"/>
    </row>
    <row r="130">
      <c r="A130" s="10" t="inlineStr">
        <is>
          <t>bs.fa.financial.balance_close</t>
        </is>
      </c>
      <c r="B130" s="8" t="inlineStr">
        <is>
          <t>BS</t>
        </is>
      </c>
      <c r="C130" s="8" t="inlineStr">
        <is>
          <t>fa.financial</t>
        </is>
      </c>
      <c r="D130" s="8" t="inlineStr">
        <is>
          <t>derived</t>
        </is>
      </c>
      <c r="E130" s="8" t="inlineStr">
        <is>
          <t>positive</t>
        </is>
      </c>
      <c r="F130" s="10" t="inlineStr">
        <is>
          <t>gross_close_aggregation</t>
        </is>
      </c>
      <c r="G130" s="8" t="inlineStr">
        <is>
          <t>E2</t>
        </is>
      </c>
      <c r="H130" s="10" t="inlineStr">
        <is>
          <t>—</t>
        </is>
      </c>
      <c r="I130" s="8" t="inlineStr">
        <is>
          <t>—</t>
        </is>
      </c>
      <c r="J130" s="8" t="inlineStr"/>
    </row>
    <row r="131">
      <c r="A131" s="9" t="inlineStr">
        <is>
          <t>bs.nwc.ar.trade_gross</t>
        </is>
      </c>
      <c r="B131" s="6" t="inlineStr">
        <is>
          <t>BS</t>
        </is>
      </c>
      <c r="C131" s="6" t="inlineStr">
        <is>
          <t>nwc.ar</t>
        </is>
      </c>
      <c r="D131" s="6" t="inlineStr">
        <is>
          <t>driver</t>
        </is>
      </c>
      <c r="E131" s="6" t="inlineStr">
        <is>
          <t>positive</t>
        </is>
      </c>
      <c r="F131" s="9" t="inlineStr">
        <is>
          <t>days_target</t>
        </is>
      </c>
      <c r="G131" s="6" t="inlineStr">
        <is>
          <t>E3</t>
        </is>
      </c>
      <c r="H131" s="9" t="inlineStr">
        <is>
          <t>pl.rev.net</t>
        </is>
      </c>
      <c r="I131" s="6" t="inlineStr">
        <is>
          <t>—</t>
        </is>
      </c>
      <c r="J131" s="6" t="inlineStr">
        <is>
          <t>DSO target</t>
        </is>
      </c>
    </row>
    <row r="132">
      <c r="A132" s="10" t="inlineStr">
        <is>
          <t>bs.nwc.ar.allowance</t>
        </is>
      </c>
      <c r="B132" s="8" t="inlineStr">
        <is>
          <t>BS</t>
        </is>
      </c>
      <c r="C132" s="8" t="inlineStr">
        <is>
          <t>nwc.ar</t>
        </is>
      </c>
      <c r="D132" s="8" t="inlineStr">
        <is>
          <t>driver</t>
        </is>
      </c>
      <c r="E132" s="8" t="inlineStr">
        <is>
          <t>negative</t>
        </is>
      </c>
      <c r="F132" s="10" t="inlineStr">
        <is>
          <t>allowance_pct_ar_gross</t>
        </is>
      </c>
      <c r="G132" s="8" t="inlineStr">
        <is>
          <t>E3</t>
        </is>
      </c>
      <c r="H132" s="10" t="inlineStr">
        <is>
          <t>bs.nwc.ar.trade_gross</t>
        </is>
      </c>
      <c r="I132" s="8" t="inlineStr">
        <is>
          <t>—</t>
        </is>
      </c>
      <c r="J132" s="8" t="inlineStr">
        <is>
          <t>IFRS 9 ECL</t>
        </is>
      </c>
    </row>
    <row r="133">
      <c r="A133" s="9" t="inlineStr">
        <is>
          <t>bs.nwc.ar.net</t>
        </is>
      </c>
      <c r="B133" s="6" t="inlineStr">
        <is>
          <t>BS</t>
        </is>
      </c>
      <c r="C133" s="6" t="inlineStr">
        <is>
          <t>nwc.ar</t>
        </is>
      </c>
      <c r="D133" s="6" t="inlineStr">
        <is>
          <t>derived</t>
        </is>
      </c>
      <c r="E133" s="6" t="inlineStr">
        <is>
          <t>positive</t>
        </is>
      </c>
      <c r="F133" s="9" t="inlineStr">
        <is>
          <t>—</t>
        </is>
      </c>
      <c r="G133" s="6" t="inlineStr">
        <is>
          <t>E3</t>
        </is>
      </c>
      <c r="H133" s="9" t="inlineStr">
        <is>
          <t>—</t>
        </is>
      </c>
      <c r="I133" s="6" t="inlineStr">
        <is>
          <t>—</t>
        </is>
      </c>
      <c r="J133" s="6">
        <f> trade_gross + allowance</f>
        <v/>
      </c>
    </row>
    <row r="134">
      <c r="A134" s="10" t="inlineStr">
        <is>
          <t>bs.nwc.contract_assets</t>
        </is>
      </c>
      <c r="B134" s="8" t="inlineStr">
        <is>
          <t>BS</t>
        </is>
      </c>
      <c r="C134" s="8" t="inlineStr">
        <is>
          <t>nwc</t>
        </is>
      </c>
      <c r="D134" s="8" t="inlineStr">
        <is>
          <t>driver</t>
        </is>
      </c>
      <c r="E134" s="8" t="inlineStr">
        <is>
          <t>positive</t>
        </is>
      </c>
      <c r="F134" s="10" t="inlineStr">
        <is>
          <t>days_target</t>
        </is>
      </c>
      <c r="G134" s="8" t="inlineStr">
        <is>
          <t>E3</t>
        </is>
      </c>
      <c r="H134" s="10" t="inlineStr">
        <is>
          <t>pl.rev.net</t>
        </is>
      </c>
      <c r="I134" s="8" t="inlineStr">
        <is>
          <t>—</t>
        </is>
      </c>
      <c r="J134" s="8" t="inlineStr">
        <is>
          <t>IFRS 15 unbilled</t>
        </is>
      </c>
    </row>
    <row r="135">
      <c r="A135" s="9" t="inlineStr">
        <is>
          <t>bs.nwc.inventory.raw</t>
        </is>
      </c>
      <c r="B135" s="6" t="inlineStr">
        <is>
          <t>BS</t>
        </is>
      </c>
      <c r="C135" s="6" t="inlineStr">
        <is>
          <t>nwc.inventory</t>
        </is>
      </c>
      <c r="D135" s="6" t="inlineStr">
        <is>
          <t>driver</t>
        </is>
      </c>
      <c r="E135" s="6" t="inlineStr">
        <is>
          <t>positive</t>
        </is>
      </c>
      <c r="F135" s="9" t="inlineStr">
        <is>
          <t>days_target</t>
        </is>
      </c>
      <c r="G135" s="6" t="inlineStr">
        <is>
          <t>E3</t>
        </is>
      </c>
      <c r="H135" s="9" t="inlineStr">
        <is>
          <t>pl.cogs.materials.raw</t>
        </is>
      </c>
      <c r="I135" s="6" t="inlineStr">
        <is>
          <t>—</t>
        </is>
      </c>
      <c r="J135" s="6" t="inlineStr">
        <is>
          <t>DIO raw</t>
        </is>
      </c>
    </row>
    <row r="136">
      <c r="A136" s="10" t="inlineStr">
        <is>
          <t>bs.nwc.inventory.wip</t>
        </is>
      </c>
      <c r="B136" s="8" t="inlineStr">
        <is>
          <t>BS</t>
        </is>
      </c>
      <c r="C136" s="8" t="inlineStr">
        <is>
          <t>nwc.inventory</t>
        </is>
      </c>
      <c r="D136" s="8" t="inlineStr">
        <is>
          <t>driver</t>
        </is>
      </c>
      <c r="E136" s="8" t="inlineStr">
        <is>
          <t>positive</t>
        </is>
      </c>
      <c r="F136" s="10" t="inlineStr">
        <is>
          <t>days_target</t>
        </is>
      </c>
      <c r="G136" s="8" t="inlineStr">
        <is>
          <t>E3</t>
        </is>
      </c>
      <c r="H136" s="10" t="inlineStr">
        <is>
          <t>pl.cogs.total</t>
        </is>
      </c>
      <c r="I136" s="8" t="inlineStr">
        <is>
          <t>—</t>
        </is>
      </c>
      <c r="J136" s="8" t="inlineStr">
        <is>
          <t>DIO WIP</t>
        </is>
      </c>
    </row>
    <row r="137">
      <c r="A137" s="9" t="inlineStr">
        <is>
          <t>bs.nwc.inventory.finished</t>
        </is>
      </c>
      <c r="B137" s="6" t="inlineStr">
        <is>
          <t>BS</t>
        </is>
      </c>
      <c r="C137" s="6" t="inlineStr">
        <is>
          <t>nwc.inventory</t>
        </is>
      </c>
      <c r="D137" s="6" t="inlineStr">
        <is>
          <t>driver</t>
        </is>
      </c>
      <c r="E137" s="6" t="inlineStr">
        <is>
          <t>positive</t>
        </is>
      </c>
      <c r="F137" s="9" t="inlineStr">
        <is>
          <t>days_target</t>
        </is>
      </c>
      <c r="G137" s="6" t="inlineStr">
        <is>
          <t>E3</t>
        </is>
      </c>
      <c r="H137" s="9" t="inlineStr">
        <is>
          <t>pl.cogs.total</t>
        </is>
      </c>
      <c r="I137" s="6" t="inlineStr">
        <is>
          <t>—</t>
        </is>
      </c>
      <c r="J137" s="6" t="inlineStr">
        <is>
          <t>DIO finished</t>
        </is>
      </c>
    </row>
    <row r="138">
      <c r="A138" s="10" t="inlineStr">
        <is>
          <t>bs.nwc.inventory.total</t>
        </is>
      </c>
      <c r="B138" s="8" t="inlineStr">
        <is>
          <t>BS</t>
        </is>
      </c>
      <c r="C138" s="8" t="inlineStr">
        <is>
          <t>nwc.inventory</t>
        </is>
      </c>
      <c r="D138" s="8" t="inlineStr">
        <is>
          <t>derived</t>
        </is>
      </c>
      <c r="E138" s="8" t="inlineStr">
        <is>
          <t>positive</t>
        </is>
      </c>
      <c r="F138" s="10" t="inlineStr">
        <is>
          <t>subtotal_aggregation</t>
        </is>
      </c>
      <c r="G138" s="8" t="inlineStr">
        <is>
          <t>E3</t>
        </is>
      </c>
      <c r="H138" s="10" t="inlineStr">
        <is>
          <t>—</t>
        </is>
      </c>
      <c r="I138" s="8" t="inlineStr">
        <is>
          <t>—</t>
        </is>
      </c>
      <c r="J138" s="8" t="inlineStr"/>
    </row>
    <row r="139">
      <c r="A139" s="9" t="inlineStr">
        <is>
          <t>bs.nwc.prepayments</t>
        </is>
      </c>
      <c r="B139" s="6" t="inlineStr">
        <is>
          <t>BS</t>
        </is>
      </c>
      <c r="C139" s="6" t="inlineStr">
        <is>
          <t>nwc</t>
        </is>
      </c>
      <c r="D139" s="6" t="inlineStr">
        <is>
          <t>driver</t>
        </is>
      </c>
      <c r="E139" s="6" t="inlineStr">
        <is>
          <t>positive</t>
        </is>
      </c>
      <c r="F139" s="9" t="inlineStr">
        <is>
          <t>historical_avg_growth</t>
        </is>
      </c>
      <c r="G139" s="6" t="inlineStr">
        <is>
          <t>E3</t>
        </is>
      </c>
      <c r="H139" s="9" t="inlineStr">
        <is>
          <t>—</t>
        </is>
      </c>
      <c r="I139" s="6" t="inlineStr">
        <is>
          <t>—</t>
        </is>
      </c>
      <c r="J139" s="6" t="inlineStr"/>
    </row>
    <row r="140">
      <c r="A140" s="10" t="inlineStr">
        <is>
          <t>bs.nwc.ap.purchases_base</t>
        </is>
      </c>
      <c r="B140" s="8" t="inlineStr">
        <is>
          <t>BS</t>
        </is>
      </c>
      <c r="C140" s="8" t="inlineStr">
        <is>
          <t>nwc.ap</t>
        </is>
      </c>
      <c r="D140" s="8" t="inlineStr">
        <is>
          <t>derived</t>
        </is>
      </c>
      <c r="E140" s="8" t="inlineStr">
        <is>
          <t>positive</t>
        </is>
      </c>
      <c r="F140" s="10" t="inlineStr">
        <is>
          <t>—</t>
        </is>
      </c>
      <c r="G140" s="8" t="inlineStr">
        <is>
          <t>E3</t>
        </is>
      </c>
      <c r="H140" s="10" t="inlineStr">
        <is>
          <t>—</t>
        </is>
      </c>
      <c r="I140" s="8" t="inlineStr">
        <is>
          <t>—</t>
        </is>
      </c>
      <c r="J140" s="8" t="inlineStr">
        <is>
          <t>User-defined formula</t>
        </is>
      </c>
    </row>
    <row r="141">
      <c r="A141" s="9" t="inlineStr">
        <is>
          <t>bs.nwc.ap.trade</t>
        </is>
      </c>
      <c r="B141" s="6" t="inlineStr">
        <is>
          <t>BS</t>
        </is>
      </c>
      <c r="C141" s="6" t="inlineStr">
        <is>
          <t>nwc.ap</t>
        </is>
      </c>
      <c r="D141" s="6" t="inlineStr">
        <is>
          <t>driver</t>
        </is>
      </c>
      <c r="E141" s="6" t="inlineStr">
        <is>
          <t>negative</t>
        </is>
      </c>
      <c r="F141" s="9" t="inlineStr">
        <is>
          <t>days_target</t>
        </is>
      </c>
      <c r="G141" s="6" t="inlineStr">
        <is>
          <t>E3</t>
        </is>
      </c>
      <c r="H141" s="9" t="inlineStr">
        <is>
          <t>bs.nwc.ap.purchases_base</t>
        </is>
      </c>
      <c r="I141" s="6" t="inlineStr">
        <is>
          <t>—</t>
        </is>
      </c>
      <c r="J141" s="6" t="inlineStr">
        <is>
          <t>DPO target</t>
        </is>
      </c>
    </row>
    <row r="142">
      <c r="A142" s="10" t="inlineStr">
        <is>
          <t>bs.nwc.accrued_expenses</t>
        </is>
      </c>
      <c r="B142" s="8" t="inlineStr">
        <is>
          <t>BS</t>
        </is>
      </c>
      <c r="C142" s="8" t="inlineStr">
        <is>
          <t>nwc</t>
        </is>
      </c>
      <c r="D142" s="8" t="inlineStr">
        <is>
          <t>driver</t>
        </is>
      </c>
      <c r="E142" s="8" t="inlineStr">
        <is>
          <t>negative</t>
        </is>
      </c>
      <c r="F142" s="10" t="inlineStr">
        <is>
          <t>pct_related_flow</t>
        </is>
      </c>
      <c r="G142" s="8" t="inlineStr">
        <is>
          <t>E3</t>
        </is>
      </c>
      <c r="H142" s="10" t="inlineStr">
        <is>
          <t>pl.opex.total</t>
        </is>
      </c>
      <c r="I142" s="8" t="inlineStr">
        <is>
          <t>—</t>
        </is>
      </c>
      <c r="J142" s="8" t="inlineStr"/>
    </row>
    <row r="143">
      <c r="A143" s="9" t="inlineStr">
        <is>
          <t>bs.nwc.contract_liabilities</t>
        </is>
      </c>
      <c r="B143" s="6" t="inlineStr">
        <is>
          <t>BS</t>
        </is>
      </c>
      <c r="C143" s="6" t="inlineStr">
        <is>
          <t>nwc</t>
        </is>
      </c>
      <c r="D143" s="6" t="inlineStr">
        <is>
          <t>driver</t>
        </is>
      </c>
      <c r="E143" s="6" t="inlineStr">
        <is>
          <t>negative</t>
        </is>
      </c>
      <c r="F143" s="9" t="inlineStr">
        <is>
          <t>days_target</t>
        </is>
      </c>
      <c r="G143" s="6" t="inlineStr">
        <is>
          <t>E3</t>
        </is>
      </c>
      <c r="H143" s="9" t="inlineStr">
        <is>
          <t>pl.rev.net</t>
        </is>
      </c>
      <c r="I143" s="6" t="inlineStr">
        <is>
          <t>—</t>
        </is>
      </c>
      <c r="J143" s="6" t="inlineStr">
        <is>
          <t>IFRS 15 deferred</t>
        </is>
      </c>
    </row>
    <row r="144">
      <c r="A144" s="10" t="inlineStr">
        <is>
          <t>bs.nwc.other_current_assets.vat_receivable</t>
        </is>
      </c>
      <c r="B144" s="8" t="inlineStr">
        <is>
          <t>BS</t>
        </is>
      </c>
      <c r="C144" s="8" t="inlineStr">
        <is>
          <t>nwc.other</t>
        </is>
      </c>
      <c r="D144" s="8" t="inlineStr">
        <is>
          <t>driver</t>
        </is>
      </c>
      <c r="E144" s="8" t="inlineStr">
        <is>
          <t>positive</t>
        </is>
      </c>
      <c r="F144" s="10" t="inlineStr">
        <is>
          <t>vat_balance_ratio</t>
        </is>
      </c>
      <c r="G144" s="8" t="inlineStr">
        <is>
          <t>E3</t>
        </is>
      </c>
      <c r="H144" s="10" t="inlineStr">
        <is>
          <t>bs.nwc.ap.purchases_base</t>
        </is>
      </c>
      <c r="I144" s="8" t="inlineStr">
        <is>
          <t>—</t>
        </is>
      </c>
      <c r="J144" s="8" t="inlineStr"/>
    </row>
    <row r="145">
      <c r="A145" s="9" t="inlineStr">
        <is>
          <t>bs.nwc.other_current_assets.cit_receivable</t>
        </is>
      </c>
      <c r="B145" s="6" t="inlineStr">
        <is>
          <t>BS</t>
        </is>
      </c>
      <c r="C145" s="6" t="inlineStr">
        <is>
          <t>nwc.other</t>
        </is>
      </c>
      <c r="D145" s="6" t="inlineStr">
        <is>
          <t>driver</t>
        </is>
      </c>
      <c r="E145" s="6" t="inlineStr">
        <is>
          <t>positive</t>
        </is>
      </c>
      <c r="F145" s="9" t="inlineStr">
        <is>
          <t>manual_tax_input</t>
        </is>
      </c>
      <c r="G145" s="6" t="inlineStr">
        <is>
          <t>E7.5</t>
        </is>
      </c>
      <c r="H145" s="9" t="inlineStr">
        <is>
          <t>—</t>
        </is>
      </c>
      <c r="I145" s="6" t="inlineStr">
        <is>
          <t>—</t>
        </is>
      </c>
      <c r="J145" s="6" t="inlineStr">
        <is>
          <t>Calcolato in E7.5</t>
        </is>
      </c>
    </row>
    <row r="146">
      <c r="A146" s="10" t="inlineStr">
        <is>
          <t>bs.nwc.other_current_assets.other</t>
        </is>
      </c>
      <c r="B146" s="8" t="inlineStr">
        <is>
          <t>BS</t>
        </is>
      </c>
      <c r="C146" s="8" t="inlineStr">
        <is>
          <t>nwc.other</t>
        </is>
      </c>
      <c r="D146" s="8" t="inlineStr">
        <is>
          <t>driver</t>
        </is>
      </c>
      <c r="E146" s="8" t="inlineStr">
        <is>
          <t>positive</t>
        </is>
      </c>
      <c r="F146" s="10" t="inlineStr">
        <is>
          <t>historical_avg_growth</t>
        </is>
      </c>
      <c r="G146" s="8" t="inlineStr">
        <is>
          <t>E3</t>
        </is>
      </c>
      <c r="H146" s="10" t="inlineStr">
        <is>
          <t>—</t>
        </is>
      </c>
      <c r="I146" s="8" t="inlineStr">
        <is>
          <t>—</t>
        </is>
      </c>
      <c r="J146" s="8" t="inlineStr"/>
    </row>
    <row r="147">
      <c r="A147" s="9" t="inlineStr">
        <is>
          <t>bs.nwc.other_current_assets</t>
        </is>
      </c>
      <c r="B147" s="6" t="inlineStr">
        <is>
          <t>BS</t>
        </is>
      </c>
      <c r="C147" s="6" t="inlineStr">
        <is>
          <t>nwc.other</t>
        </is>
      </c>
      <c r="D147" s="6" t="inlineStr">
        <is>
          <t>derived</t>
        </is>
      </c>
      <c r="E147" s="6" t="inlineStr">
        <is>
          <t>positive</t>
        </is>
      </c>
      <c r="F147" s="9" t="inlineStr">
        <is>
          <t>subtotal_aggregation</t>
        </is>
      </c>
      <c r="G147" s="6" t="inlineStr">
        <is>
          <t>E7.5</t>
        </is>
      </c>
      <c r="H147" s="9" t="inlineStr">
        <is>
          <t>—</t>
        </is>
      </c>
      <c r="I147" s="6" t="inlineStr">
        <is>
          <t>—</t>
        </is>
      </c>
      <c r="J147" s="6" t="inlineStr">
        <is>
          <t>Final in E7.5</t>
        </is>
      </c>
    </row>
    <row r="148">
      <c r="A148" s="10" t="inlineStr">
        <is>
          <t>bs.nwc.other_current_liab.vat_payable</t>
        </is>
      </c>
      <c r="B148" s="8" t="inlineStr">
        <is>
          <t>BS</t>
        </is>
      </c>
      <c r="C148" s="8" t="inlineStr">
        <is>
          <t>nwc.other</t>
        </is>
      </c>
      <c r="D148" s="8" t="inlineStr">
        <is>
          <t>driver</t>
        </is>
      </c>
      <c r="E148" s="8" t="inlineStr">
        <is>
          <t>negative</t>
        </is>
      </c>
      <c r="F148" s="10" t="inlineStr">
        <is>
          <t>vat_balance_ratio</t>
        </is>
      </c>
      <c r="G148" s="8" t="inlineStr">
        <is>
          <t>E3</t>
        </is>
      </c>
      <c r="H148" s="10" t="inlineStr">
        <is>
          <t>pl.rev.gross_total</t>
        </is>
      </c>
      <c r="I148" s="8" t="inlineStr">
        <is>
          <t>—</t>
        </is>
      </c>
      <c r="J148" s="8" t="inlineStr"/>
    </row>
    <row r="149">
      <c r="A149" s="9" t="inlineStr">
        <is>
          <t>bs.nwc.other_current_liab.cit_payable</t>
        </is>
      </c>
      <c r="B149" s="6" t="inlineStr">
        <is>
          <t>BS</t>
        </is>
      </c>
      <c r="C149" s="6" t="inlineStr">
        <is>
          <t>nwc.other</t>
        </is>
      </c>
      <c r="D149" s="6" t="inlineStr">
        <is>
          <t>driver</t>
        </is>
      </c>
      <c r="E149" s="6" t="inlineStr">
        <is>
          <t>negative</t>
        </is>
      </c>
      <c r="F149" s="9" t="inlineStr">
        <is>
          <t>—</t>
        </is>
      </c>
      <c r="G149" s="6" t="inlineStr">
        <is>
          <t>E7.5</t>
        </is>
      </c>
      <c r="H149" s="9" t="inlineStr">
        <is>
          <t>pl.tax.current</t>
        </is>
      </c>
      <c r="I149" s="6" t="inlineStr">
        <is>
          <t>—</t>
        </is>
      </c>
      <c r="J149" s="6" t="inlineStr">
        <is>
          <t>Identity da pl.tax.current</t>
        </is>
      </c>
    </row>
    <row r="150">
      <c r="A150" s="10" t="inlineStr">
        <is>
          <t>bs.nwc.other_current_liab.other</t>
        </is>
      </c>
      <c r="B150" s="8" t="inlineStr">
        <is>
          <t>BS</t>
        </is>
      </c>
      <c r="C150" s="8" t="inlineStr">
        <is>
          <t>nwc.other</t>
        </is>
      </c>
      <c r="D150" s="8" t="inlineStr">
        <is>
          <t>driver</t>
        </is>
      </c>
      <c r="E150" s="8" t="inlineStr">
        <is>
          <t>negative</t>
        </is>
      </c>
      <c r="F150" s="10" t="inlineStr">
        <is>
          <t>historical_avg_growth</t>
        </is>
      </c>
      <c r="G150" s="8" t="inlineStr">
        <is>
          <t>E3</t>
        </is>
      </c>
      <c r="H150" s="10" t="inlineStr">
        <is>
          <t>—</t>
        </is>
      </c>
      <c r="I150" s="8" t="inlineStr">
        <is>
          <t>—</t>
        </is>
      </c>
      <c r="J150" s="8" t="inlineStr"/>
    </row>
    <row r="151">
      <c r="A151" s="9" t="inlineStr">
        <is>
          <t>bs.nwc.other_current_liab</t>
        </is>
      </c>
      <c r="B151" s="6" t="inlineStr">
        <is>
          <t>BS</t>
        </is>
      </c>
      <c r="C151" s="6" t="inlineStr">
        <is>
          <t>nwc.other</t>
        </is>
      </c>
      <c r="D151" s="6" t="inlineStr">
        <is>
          <t>derived</t>
        </is>
      </c>
      <c r="E151" s="6" t="inlineStr">
        <is>
          <t>negative</t>
        </is>
      </c>
      <c r="F151" s="9" t="inlineStr">
        <is>
          <t>subtotal_aggregation</t>
        </is>
      </c>
      <c r="G151" s="6" t="inlineStr">
        <is>
          <t>E7.5</t>
        </is>
      </c>
      <c r="H151" s="9" t="inlineStr">
        <is>
          <t>—</t>
        </is>
      </c>
      <c r="I151" s="6" t="inlineStr">
        <is>
          <t>—</t>
        </is>
      </c>
      <c r="J151" s="6" t="inlineStr">
        <is>
          <t>Final in E7.5</t>
        </is>
      </c>
    </row>
    <row r="152">
      <c r="A152" s="10" t="inlineStr">
        <is>
          <t>bs.nwc.operating</t>
        </is>
      </c>
      <c r="B152" s="8" t="inlineStr">
        <is>
          <t>BS</t>
        </is>
      </c>
      <c r="C152" s="8" t="inlineStr">
        <is>
          <t>nwc</t>
        </is>
      </c>
      <c r="D152" s="8" t="inlineStr">
        <is>
          <t>derived</t>
        </is>
      </c>
      <c r="E152" s="8" t="inlineStr">
        <is>
          <t>signed_either</t>
        </is>
      </c>
      <c r="F152" s="10" t="inlineStr">
        <is>
          <t>—</t>
        </is>
      </c>
      <c r="G152" s="8" t="inlineStr">
        <is>
          <t>E7.5 final (E3 proxy)</t>
        </is>
      </c>
      <c r="H152" s="10" t="inlineStr">
        <is>
          <t>—</t>
        </is>
      </c>
      <c r="I152" s="8" t="inlineStr">
        <is>
          <t>—</t>
        </is>
      </c>
      <c r="J152" s="8" t="inlineStr">
        <is>
          <t>Doppia istanza</t>
        </is>
      </c>
    </row>
    <row r="153">
      <c r="A153" s="9" t="inlineStr">
        <is>
          <t>bs.nfp.borrowings.term_loan_open</t>
        </is>
      </c>
      <c r="B153" s="6" t="inlineStr">
        <is>
          <t>BS</t>
        </is>
      </c>
      <c r="C153" s="6" t="inlineStr">
        <is>
          <t>nfp.borrowings</t>
        </is>
      </c>
      <c r="D153" s="6" t="inlineStr">
        <is>
          <t>reference</t>
        </is>
      </c>
      <c r="E153" s="6" t="inlineStr">
        <is>
          <t>negative</t>
        </is>
      </c>
      <c r="F153" s="9" t="inlineStr">
        <is>
          <t>—</t>
        </is>
      </c>
      <c r="G153" s="6" t="inlineStr">
        <is>
          <t>E4</t>
        </is>
      </c>
      <c r="H153" s="9" t="inlineStr">
        <is>
          <t>—</t>
        </is>
      </c>
      <c r="I153" s="6" t="inlineStr">
        <is>
          <t>—</t>
        </is>
      </c>
      <c r="J153" s="6" t="inlineStr"/>
    </row>
    <row r="154">
      <c r="A154" s="10" t="inlineStr">
        <is>
          <t>bs.nfp.borrowings.term_loan_drawdowns</t>
        </is>
      </c>
      <c r="B154" s="8" t="inlineStr">
        <is>
          <t>BS</t>
        </is>
      </c>
      <c r="C154" s="8" t="inlineStr">
        <is>
          <t>nfp.borrowings</t>
        </is>
      </c>
      <c r="D154" s="8" t="inlineStr">
        <is>
          <t>driver</t>
        </is>
      </c>
      <c r="E154" s="8" t="inlineStr">
        <is>
          <t>positive</t>
        </is>
      </c>
      <c r="F154" s="10" t="inlineStr">
        <is>
          <t>manual_zero</t>
        </is>
      </c>
      <c r="G154" s="8" t="inlineStr">
        <is>
          <t>E4</t>
        </is>
      </c>
      <c r="H154" s="10" t="inlineStr">
        <is>
          <t>—</t>
        </is>
      </c>
      <c r="I154" s="8" t="inlineStr">
        <is>
          <t>recurring</t>
        </is>
      </c>
      <c r="J154" s="8" t="inlineStr">
        <is>
          <t>Magnitudine flusso (positiva)</t>
        </is>
      </c>
    </row>
    <row r="155">
      <c r="A155" s="9" t="inlineStr">
        <is>
          <t>bs.nfp.borrowings.term_loan_repayments</t>
        </is>
      </c>
      <c r="B155" s="6" t="inlineStr">
        <is>
          <t>BS</t>
        </is>
      </c>
      <c r="C155" s="6" t="inlineStr">
        <is>
          <t>nfp.borrowings</t>
        </is>
      </c>
      <c r="D155" s="6" t="inlineStr">
        <is>
          <t>driver</t>
        </is>
      </c>
      <c r="E155" s="6" t="inlineStr">
        <is>
          <t>negative</t>
        </is>
      </c>
      <c r="F155" s="9" t="inlineStr">
        <is>
          <t>term_loan_amortization_linear</t>
        </is>
      </c>
      <c r="G155" s="6" t="inlineStr">
        <is>
          <t>E4</t>
        </is>
      </c>
      <c r="H155" s="9" t="inlineStr">
        <is>
          <t>—</t>
        </is>
      </c>
      <c r="I155" s="6" t="inlineStr">
        <is>
          <t>recurring</t>
        </is>
      </c>
      <c r="J155" s="6" t="inlineStr">
        <is>
          <t>Default amortizing lineare</t>
        </is>
      </c>
    </row>
    <row r="156">
      <c r="A156" s="10" t="inlineStr">
        <is>
          <t>bs.nfp.borrowings.rcf_movement</t>
        </is>
      </c>
      <c r="B156" s="8" t="inlineStr">
        <is>
          <t>BS</t>
        </is>
      </c>
      <c r="C156" s="8" t="inlineStr">
        <is>
          <t>nfp.borrowings</t>
        </is>
      </c>
      <c r="D156" s="8" t="inlineStr">
        <is>
          <t>driver</t>
        </is>
      </c>
      <c r="E156" s="8" t="inlineStr">
        <is>
          <t>signed_either</t>
        </is>
      </c>
      <c r="F156" s="10" t="inlineStr">
        <is>
          <t>manual_zero</t>
        </is>
      </c>
      <c r="G156" s="8" t="inlineStr">
        <is>
          <t>E4</t>
        </is>
      </c>
      <c r="H156" s="10" t="inlineStr">
        <is>
          <t>—</t>
        </is>
      </c>
      <c r="I156" s="8" t="inlineStr">
        <is>
          <t>recurring</t>
        </is>
      </c>
      <c r="J156" s="8" t="inlineStr">
        <is>
          <t>Plug RCF = improvement</t>
        </is>
      </c>
    </row>
    <row r="157">
      <c r="A157" s="9" t="inlineStr">
        <is>
          <t>bs.nfp.borrowings.bonds_movement</t>
        </is>
      </c>
      <c r="B157" s="6" t="inlineStr">
        <is>
          <t>BS</t>
        </is>
      </c>
      <c r="C157" s="6" t="inlineStr">
        <is>
          <t>nfp.borrowings</t>
        </is>
      </c>
      <c r="D157" s="6" t="inlineStr">
        <is>
          <t>driver</t>
        </is>
      </c>
      <c r="E157" s="6" t="inlineStr">
        <is>
          <t>signed_either</t>
        </is>
      </c>
      <c r="F157" s="9" t="inlineStr">
        <is>
          <t>manual_zero</t>
        </is>
      </c>
      <c r="G157" s="6" t="inlineStr">
        <is>
          <t>E4</t>
        </is>
      </c>
      <c r="H157" s="9" t="inlineStr">
        <is>
          <t>—</t>
        </is>
      </c>
      <c r="I157" s="6" t="inlineStr">
        <is>
          <t>recurring</t>
        </is>
      </c>
      <c r="J157" s="6" t="inlineStr"/>
    </row>
    <row r="158">
      <c r="A158" s="10" t="inlineStr">
        <is>
          <t>bs.nfp.borrowings.shareholder_loans_movement</t>
        </is>
      </c>
      <c r="B158" s="8" t="inlineStr">
        <is>
          <t>BS</t>
        </is>
      </c>
      <c r="C158" s="8" t="inlineStr">
        <is>
          <t>nfp.borrowings</t>
        </is>
      </c>
      <c r="D158" s="8" t="inlineStr">
        <is>
          <t>driver</t>
        </is>
      </c>
      <c r="E158" s="8" t="inlineStr">
        <is>
          <t>signed_either</t>
        </is>
      </c>
      <c r="F158" s="10" t="inlineStr">
        <is>
          <t>manual_zero</t>
        </is>
      </c>
      <c r="G158" s="8" t="inlineStr">
        <is>
          <t>E4</t>
        </is>
      </c>
      <c r="H158" s="10" t="inlineStr">
        <is>
          <t>—</t>
        </is>
      </c>
      <c r="I158" s="8" t="inlineStr">
        <is>
          <t>recurring</t>
        </is>
      </c>
      <c r="J158" s="8" t="inlineStr"/>
    </row>
    <row r="159">
      <c r="A159" s="9" t="inlineStr">
        <is>
          <t>bs.nfp.borrowings.assumed_via_ma</t>
        </is>
      </c>
      <c r="B159" s="6" t="inlineStr">
        <is>
          <t>BS</t>
        </is>
      </c>
      <c r="C159" s="6" t="inlineStr">
        <is>
          <t>nfp.borrowings</t>
        </is>
      </c>
      <c r="D159" s="6" t="inlineStr">
        <is>
          <t>placeholder</t>
        </is>
      </c>
      <c r="E159" s="6" t="inlineStr">
        <is>
          <t>negative</t>
        </is>
      </c>
      <c r="F159" s="9" t="inlineStr">
        <is>
          <t>manual_zero</t>
        </is>
      </c>
      <c r="G159" s="6" t="inlineStr">
        <is>
          <t>E4</t>
        </is>
      </c>
      <c r="H159" s="9" t="inlineStr">
        <is>
          <t>—</t>
        </is>
      </c>
      <c r="I159" s="6" t="inlineStr">
        <is>
          <t>non_recurring_extraordinary</t>
        </is>
      </c>
      <c r="J159" s="6" t="inlineStr">
        <is>
          <t>M&amp;A placeholder</t>
        </is>
      </c>
    </row>
    <row r="160">
      <c r="A160" s="10" t="inlineStr">
        <is>
          <t>bs.nfp.borrowings.haircut_writeoff</t>
        </is>
      </c>
      <c r="B160" s="8" t="inlineStr">
        <is>
          <t>BS</t>
        </is>
      </c>
      <c r="C160" s="8" t="inlineStr">
        <is>
          <t>nfp.borrowings</t>
        </is>
      </c>
      <c r="D160" s="8" t="inlineStr">
        <is>
          <t>placeholder</t>
        </is>
      </c>
      <c r="E160" s="8" t="inlineStr">
        <is>
          <t>positive</t>
        </is>
      </c>
      <c r="F160" s="10" t="inlineStr">
        <is>
          <t>manual_zero</t>
        </is>
      </c>
      <c r="G160" s="8" t="inlineStr">
        <is>
          <t>E4</t>
        </is>
      </c>
      <c r="H160" s="10" t="inlineStr">
        <is>
          <t>—</t>
        </is>
      </c>
      <c r="I160" s="8" t="inlineStr">
        <is>
          <t>non_recurring_extraordinary</t>
        </is>
      </c>
      <c r="J160" s="8" t="inlineStr">
        <is>
          <t>Restructuring placeholder</t>
        </is>
      </c>
    </row>
    <row r="161">
      <c r="A161" s="9" t="inlineStr">
        <is>
          <t>bs.nfp.borrowings.total_open</t>
        </is>
      </c>
      <c r="B161" s="6" t="inlineStr">
        <is>
          <t>BS</t>
        </is>
      </c>
      <c r="C161" s="6" t="inlineStr">
        <is>
          <t>nfp.borrowings</t>
        </is>
      </c>
      <c r="D161" s="6" t="inlineStr">
        <is>
          <t>reference</t>
        </is>
      </c>
      <c r="E161" s="6" t="inlineStr">
        <is>
          <t>negative</t>
        </is>
      </c>
      <c r="F161" s="9" t="inlineStr">
        <is>
          <t>—</t>
        </is>
      </c>
      <c r="G161" s="6" t="inlineStr">
        <is>
          <t>E4</t>
        </is>
      </c>
      <c r="H161" s="9" t="inlineStr">
        <is>
          <t>—</t>
        </is>
      </c>
      <c r="I161" s="6" t="inlineStr">
        <is>
          <t>—</t>
        </is>
      </c>
      <c r="J161" s="6" t="inlineStr"/>
    </row>
    <row r="162">
      <c r="A162" s="10" t="inlineStr">
        <is>
          <t>bs.nfp.borrowings.total_close</t>
        </is>
      </c>
      <c r="B162" s="8" t="inlineStr">
        <is>
          <t>BS</t>
        </is>
      </c>
      <c r="C162" s="8" t="inlineStr">
        <is>
          <t>nfp.borrowings</t>
        </is>
      </c>
      <c r="D162" s="8" t="inlineStr">
        <is>
          <t>derived</t>
        </is>
      </c>
      <c r="E162" s="8" t="inlineStr">
        <is>
          <t>negative</t>
        </is>
      </c>
      <c r="F162" s="10" t="inlineStr">
        <is>
          <t>—</t>
        </is>
      </c>
      <c r="G162" s="8" t="inlineStr">
        <is>
          <t>E4</t>
        </is>
      </c>
      <c r="H162" s="10" t="inlineStr">
        <is>
          <t>—</t>
        </is>
      </c>
      <c r="I162" s="8" t="inlineStr">
        <is>
          <t>—</t>
        </is>
      </c>
      <c r="J162" s="8" t="inlineStr">
        <is>
          <t>Roll-forward signed</t>
        </is>
      </c>
    </row>
    <row r="163">
      <c r="A163" s="9" t="inlineStr">
        <is>
          <t>bs.nfp.lease_liability.open</t>
        </is>
      </c>
      <c r="B163" s="6" t="inlineStr">
        <is>
          <t>BS</t>
        </is>
      </c>
      <c r="C163" s="6" t="inlineStr">
        <is>
          <t>nfp.lease_liability</t>
        </is>
      </c>
      <c r="D163" s="6" t="inlineStr">
        <is>
          <t>reference</t>
        </is>
      </c>
      <c r="E163" s="6" t="inlineStr">
        <is>
          <t>negative</t>
        </is>
      </c>
      <c r="F163" s="9" t="inlineStr">
        <is>
          <t>—</t>
        </is>
      </c>
      <c r="G163" s="6" t="inlineStr">
        <is>
          <t>E4</t>
        </is>
      </c>
      <c r="H163" s="9" t="inlineStr">
        <is>
          <t>—</t>
        </is>
      </c>
      <c r="I163" s="6" t="inlineStr">
        <is>
          <t>—</t>
        </is>
      </c>
      <c r="J163" s="6" t="inlineStr"/>
    </row>
    <row r="164">
      <c r="A164" s="10" t="inlineStr">
        <is>
          <t>bs.nfp.lease_liability.new_contracts</t>
        </is>
      </c>
      <c r="B164" s="8" t="inlineStr">
        <is>
          <t>BS</t>
        </is>
      </c>
      <c r="C164" s="8" t="inlineStr">
        <is>
          <t>nfp.lease_liability</t>
        </is>
      </c>
      <c r="D164" s="8" t="inlineStr">
        <is>
          <t>derived</t>
        </is>
      </c>
      <c r="E164" s="8" t="inlineStr">
        <is>
          <t>negative</t>
        </is>
      </c>
      <c r="F164" s="10" t="inlineStr">
        <is>
          <t>—</t>
        </is>
      </c>
      <c r="G164" s="8" t="inlineStr">
        <is>
          <t>E4</t>
        </is>
      </c>
      <c r="H164" s="10" t="inlineStr">
        <is>
          <t>bs.fa.rou.new_contracts</t>
        </is>
      </c>
      <c r="I164" s="8" t="inlineStr">
        <is>
          <t>recurring</t>
        </is>
      </c>
      <c r="J164" s="8">
        <f> -ROU new_contracts (P22)</f>
        <v/>
      </c>
    </row>
    <row r="165">
      <c r="A165" s="9" t="inlineStr">
        <is>
          <t>bs.nfp.lease_liability.interest_accrued</t>
        </is>
      </c>
      <c r="B165" s="6" t="inlineStr">
        <is>
          <t>BS</t>
        </is>
      </c>
      <c r="C165" s="6" t="inlineStr">
        <is>
          <t>nfp.lease_liability</t>
        </is>
      </c>
      <c r="D165" s="6" t="inlineStr">
        <is>
          <t>derived</t>
        </is>
      </c>
      <c r="E165" s="6" t="inlineStr">
        <is>
          <t>negative</t>
        </is>
      </c>
      <c r="F165" s="9" t="inlineStr">
        <is>
          <t>lease_liability_interest_accrued</t>
        </is>
      </c>
      <c r="G165" s="6" t="inlineStr">
        <is>
          <t>E4</t>
        </is>
      </c>
      <c r="H165" s="9" t="inlineStr">
        <is>
          <t>—</t>
        </is>
      </c>
      <c r="I165" s="6" t="inlineStr">
        <is>
          <t>recurring</t>
        </is>
      </c>
      <c r="J165" s="6" t="inlineStr">
        <is>
          <t>Sub-circolarità con proxy</t>
        </is>
      </c>
    </row>
    <row r="166">
      <c r="A166" s="10" t="inlineStr">
        <is>
          <t>bs.nfp.lease_liability.payments_principal</t>
        </is>
      </c>
      <c r="B166" s="8" t="inlineStr">
        <is>
          <t>BS</t>
        </is>
      </c>
      <c r="C166" s="8" t="inlineStr">
        <is>
          <t>nfp.lease_liability</t>
        </is>
      </c>
      <c r="D166" s="8" t="inlineStr">
        <is>
          <t>driver</t>
        </is>
      </c>
      <c r="E166" s="8" t="inlineStr">
        <is>
          <t>positive</t>
        </is>
      </c>
      <c r="F166" s="10" t="inlineStr">
        <is>
          <t>lease_payment_pct_opening</t>
        </is>
      </c>
      <c r="G166" s="8" t="inlineStr">
        <is>
          <t>E4</t>
        </is>
      </c>
      <c r="H166" s="10" t="inlineStr">
        <is>
          <t>bs.nfp.lease_liability.close</t>
        </is>
      </c>
      <c r="I166" s="8" t="inlineStr">
        <is>
          <t>recurring</t>
        </is>
      </c>
      <c r="J166" s="8" t="inlineStr"/>
    </row>
    <row r="167">
      <c r="A167" s="9" t="inlineStr">
        <is>
          <t>bs.nfp.lease_liability.modifications</t>
        </is>
      </c>
      <c r="B167" s="6" t="inlineStr">
        <is>
          <t>BS</t>
        </is>
      </c>
      <c r="C167" s="6" t="inlineStr">
        <is>
          <t>nfp.lease_liability</t>
        </is>
      </c>
      <c r="D167" s="6" t="inlineStr">
        <is>
          <t>driver</t>
        </is>
      </c>
      <c r="E167" s="6" t="inlineStr">
        <is>
          <t>signed_either</t>
        </is>
      </c>
      <c r="F167" s="9" t="inlineStr">
        <is>
          <t>manual_zero</t>
        </is>
      </c>
      <c r="G167" s="6" t="inlineStr">
        <is>
          <t>E4</t>
        </is>
      </c>
      <c r="H167" s="9" t="inlineStr">
        <is>
          <t>—</t>
        </is>
      </c>
      <c r="I167" s="6" t="inlineStr">
        <is>
          <t>recurring</t>
        </is>
      </c>
      <c r="J167" s="6" t="inlineStr"/>
    </row>
    <row r="168">
      <c r="A168" s="10" t="inlineStr">
        <is>
          <t>bs.nfp.lease_liability.close</t>
        </is>
      </c>
      <c r="B168" s="8" t="inlineStr">
        <is>
          <t>BS</t>
        </is>
      </c>
      <c r="C168" s="8" t="inlineStr">
        <is>
          <t>nfp.lease_liability</t>
        </is>
      </c>
      <c r="D168" s="8" t="inlineStr">
        <is>
          <t>derived</t>
        </is>
      </c>
      <c r="E168" s="8" t="inlineStr">
        <is>
          <t>negative</t>
        </is>
      </c>
      <c r="F168" s="10" t="inlineStr">
        <is>
          <t>—</t>
        </is>
      </c>
      <c r="G168" s="8" t="inlineStr">
        <is>
          <t>E4</t>
        </is>
      </c>
      <c r="H168" s="10" t="inlineStr">
        <is>
          <t>—</t>
        </is>
      </c>
      <c r="I168" s="8" t="inlineStr">
        <is>
          <t>—</t>
        </is>
      </c>
      <c r="J168" s="8" t="inlineStr">
        <is>
          <t>Roll-forward</t>
        </is>
      </c>
    </row>
    <row r="169">
      <c r="A169" s="9" t="inlineStr">
        <is>
          <t>bs.nfp.cash</t>
        </is>
      </c>
      <c r="B169" s="6" t="inlineStr">
        <is>
          <t>BS</t>
        </is>
      </c>
      <c r="C169" s="6" t="inlineStr">
        <is>
          <t>nfp.cash</t>
        </is>
      </c>
      <c r="D169" s="6" t="inlineStr">
        <is>
          <t>derived (identity)</t>
        </is>
      </c>
      <c r="E169" s="6" t="inlineStr">
        <is>
          <t>positive</t>
        </is>
      </c>
      <c r="F169" s="9" t="inlineStr">
        <is>
          <t>cash_identity_from_cf</t>
        </is>
      </c>
      <c r="G169" s="6" t="inlineStr">
        <is>
          <t>E8</t>
        </is>
      </c>
      <c r="H169" s="9" t="inlineStr">
        <is>
          <t>cf.net_change_cash</t>
        </is>
      </c>
      <c r="I169" s="6" t="inlineStr">
        <is>
          <t>—</t>
        </is>
      </c>
      <c r="J169" s="6" t="inlineStr">
        <is>
          <t>Identità chiusura</t>
        </is>
      </c>
    </row>
    <row r="170">
      <c r="A170" s="10" t="inlineStr">
        <is>
          <t>bs.nfp.net_debt</t>
        </is>
      </c>
      <c r="B170" s="8" t="inlineStr">
        <is>
          <t>BS</t>
        </is>
      </c>
      <c r="C170" s="8" t="inlineStr">
        <is>
          <t>nfp</t>
        </is>
      </c>
      <c r="D170" s="8" t="inlineStr">
        <is>
          <t>derived</t>
        </is>
      </c>
      <c r="E170" s="8" t="inlineStr">
        <is>
          <t>signed_either</t>
        </is>
      </c>
      <c r="F170" s="10" t="inlineStr">
        <is>
          <t>—</t>
        </is>
      </c>
      <c r="G170" s="8" t="inlineStr">
        <is>
          <t>E8</t>
        </is>
      </c>
      <c r="H170" s="10" t="inlineStr">
        <is>
          <t>—</t>
        </is>
      </c>
      <c r="I170" s="8" t="inlineStr">
        <is>
          <t>—</t>
        </is>
      </c>
      <c r="J170" s="8" t="inlineStr">
        <is>
          <t>borrowings + lease + cash</t>
        </is>
      </c>
    </row>
    <row r="171">
      <c r="A171" s="9" t="inlineStr">
        <is>
          <t>bs.equity.share_capital_open</t>
        </is>
      </c>
      <c r="B171" s="6" t="inlineStr">
        <is>
          <t>BS</t>
        </is>
      </c>
      <c r="C171" s="6" t="inlineStr">
        <is>
          <t>equity</t>
        </is>
      </c>
      <c r="D171" s="6" t="inlineStr">
        <is>
          <t>reference</t>
        </is>
      </c>
      <c r="E171" s="6" t="inlineStr">
        <is>
          <t>positive</t>
        </is>
      </c>
      <c r="F171" s="9" t="inlineStr">
        <is>
          <t>—</t>
        </is>
      </c>
      <c r="G171" s="6" t="inlineStr">
        <is>
          <t>E6</t>
        </is>
      </c>
      <c r="H171" s="9" t="inlineStr">
        <is>
          <t>—</t>
        </is>
      </c>
      <c r="I171" s="6" t="inlineStr">
        <is>
          <t>—</t>
        </is>
      </c>
      <c r="J171" s="6" t="inlineStr"/>
    </row>
    <row r="172">
      <c r="A172" s="10" t="inlineStr">
        <is>
          <t>bs.equity.capital.organic_increases</t>
        </is>
      </c>
      <c r="B172" s="8" t="inlineStr">
        <is>
          <t>BS</t>
        </is>
      </c>
      <c r="C172" s="8" t="inlineStr">
        <is>
          <t>equity.capital</t>
        </is>
      </c>
      <c r="D172" s="8" t="inlineStr">
        <is>
          <t>driver</t>
        </is>
      </c>
      <c r="E172" s="8" t="inlineStr">
        <is>
          <t>positive</t>
        </is>
      </c>
      <c r="F172" s="10" t="inlineStr">
        <is>
          <t>manual_zero</t>
        </is>
      </c>
      <c r="G172" s="8" t="inlineStr">
        <is>
          <t>E6</t>
        </is>
      </c>
      <c r="H172" s="10" t="inlineStr">
        <is>
          <t>—</t>
        </is>
      </c>
      <c r="I172" s="8" t="inlineStr">
        <is>
          <t>recurring</t>
        </is>
      </c>
      <c r="J172" s="8" t="inlineStr"/>
    </row>
    <row r="173">
      <c r="A173" s="9" t="inlineStr">
        <is>
          <t>bs.equity.capital.acquisition_consideration</t>
        </is>
      </c>
      <c r="B173" s="6" t="inlineStr">
        <is>
          <t>BS</t>
        </is>
      </c>
      <c r="C173" s="6" t="inlineStr">
        <is>
          <t>equity.capital</t>
        </is>
      </c>
      <c r="D173" s="6" t="inlineStr">
        <is>
          <t>placeholder</t>
        </is>
      </c>
      <c r="E173" s="6" t="inlineStr">
        <is>
          <t>positive</t>
        </is>
      </c>
      <c r="F173" s="9" t="inlineStr">
        <is>
          <t>manual_zero</t>
        </is>
      </c>
      <c r="G173" s="6" t="inlineStr">
        <is>
          <t>E6</t>
        </is>
      </c>
      <c r="H173" s="9" t="inlineStr">
        <is>
          <t>—</t>
        </is>
      </c>
      <c r="I173" s="6" t="inlineStr">
        <is>
          <t>non_recurring_extraordinary</t>
        </is>
      </c>
      <c r="J173" s="6" t="inlineStr">
        <is>
          <t>M&amp;A paper deal</t>
        </is>
      </c>
    </row>
    <row r="174">
      <c r="A174" s="10" t="inlineStr">
        <is>
          <t>bs.equity.capital.spin_off_distribution</t>
        </is>
      </c>
      <c r="B174" s="8" t="inlineStr">
        <is>
          <t>BS</t>
        </is>
      </c>
      <c r="C174" s="8" t="inlineStr">
        <is>
          <t>equity.capital</t>
        </is>
      </c>
      <c r="D174" s="8" t="inlineStr">
        <is>
          <t>placeholder</t>
        </is>
      </c>
      <c r="E174" s="8" t="inlineStr">
        <is>
          <t>negative</t>
        </is>
      </c>
      <c r="F174" s="10" t="inlineStr">
        <is>
          <t>manual_zero</t>
        </is>
      </c>
      <c r="G174" s="8" t="inlineStr">
        <is>
          <t>E6</t>
        </is>
      </c>
      <c r="H174" s="10" t="inlineStr">
        <is>
          <t>—</t>
        </is>
      </c>
      <c r="I174" s="8" t="inlineStr">
        <is>
          <t>non_recurring_extraordinary</t>
        </is>
      </c>
      <c r="J174" s="8" t="inlineStr">
        <is>
          <t>Spin-off</t>
        </is>
      </c>
    </row>
    <row r="175">
      <c r="A175" s="9" t="inlineStr">
        <is>
          <t>bs.equity.capital.dividends_paid</t>
        </is>
      </c>
      <c r="B175" s="6" t="inlineStr">
        <is>
          <t>BS</t>
        </is>
      </c>
      <c r="C175" s="6" t="inlineStr">
        <is>
          <t>equity.capital</t>
        </is>
      </c>
      <c r="D175" s="6" t="inlineStr">
        <is>
          <t>driver</t>
        </is>
      </c>
      <c r="E175" s="6" t="inlineStr">
        <is>
          <t>negative</t>
        </is>
      </c>
      <c r="F175" s="9" t="inlineStr">
        <is>
          <t>dividend_payout_ratio</t>
        </is>
      </c>
      <c r="G175" s="6" t="inlineStr">
        <is>
          <t>E6</t>
        </is>
      </c>
      <c r="H175" s="9" t="inlineStr">
        <is>
          <t>pl.net_income</t>
        </is>
      </c>
      <c r="I175" s="6" t="inlineStr">
        <is>
          <t>recurring</t>
        </is>
      </c>
      <c r="J175" s="6" t="inlineStr">
        <is>
          <t>Già negativo per convention</t>
        </is>
      </c>
    </row>
    <row r="176">
      <c r="A176" s="10" t="inlineStr">
        <is>
          <t>bs.equity.capital.share_buyback</t>
        </is>
      </c>
      <c r="B176" s="8" t="inlineStr">
        <is>
          <t>BS</t>
        </is>
      </c>
      <c r="C176" s="8" t="inlineStr">
        <is>
          <t>equity.capital</t>
        </is>
      </c>
      <c r="D176" s="8" t="inlineStr">
        <is>
          <t>driver</t>
        </is>
      </c>
      <c r="E176" s="8" t="inlineStr">
        <is>
          <t>negative</t>
        </is>
      </c>
      <c r="F176" s="10" t="inlineStr">
        <is>
          <t>manual_zero</t>
        </is>
      </c>
      <c r="G176" s="8" t="inlineStr">
        <is>
          <t>E6</t>
        </is>
      </c>
      <c r="H176" s="10" t="inlineStr">
        <is>
          <t>—</t>
        </is>
      </c>
      <c r="I176" s="8" t="inlineStr">
        <is>
          <t>recurring</t>
        </is>
      </c>
      <c r="J176" s="8" t="inlineStr"/>
    </row>
    <row r="177">
      <c r="A177" s="9" t="inlineStr">
        <is>
          <t>bs.equity.capital.oci_movement</t>
        </is>
      </c>
      <c r="B177" s="6" t="inlineStr">
        <is>
          <t>BS</t>
        </is>
      </c>
      <c r="C177" s="6" t="inlineStr">
        <is>
          <t>equity.capital</t>
        </is>
      </c>
      <c r="D177" s="6" t="inlineStr">
        <is>
          <t>driver</t>
        </is>
      </c>
      <c r="E177" s="6" t="inlineStr">
        <is>
          <t>signed_either</t>
        </is>
      </c>
      <c r="F177" s="9" t="inlineStr">
        <is>
          <t>manual_zero</t>
        </is>
      </c>
      <c r="G177" s="6" t="inlineStr">
        <is>
          <t>E6</t>
        </is>
      </c>
      <c r="H177" s="9" t="inlineStr">
        <is>
          <t>bs.employee_benefits.actuarial_changes</t>
        </is>
      </c>
      <c r="I177" s="6" t="inlineStr">
        <is>
          <t>recurring</t>
        </is>
      </c>
      <c r="J177" s="6" t="inlineStr">
        <is>
          <t>+ identity attuariale EB</t>
        </is>
      </c>
    </row>
    <row r="178">
      <c r="A178" s="10" t="inlineStr">
        <is>
          <t>bs.equity.capital.nci_movement</t>
        </is>
      </c>
      <c r="B178" s="8" t="inlineStr">
        <is>
          <t>BS</t>
        </is>
      </c>
      <c r="C178" s="8" t="inlineStr">
        <is>
          <t>equity.capital</t>
        </is>
      </c>
      <c r="D178" s="8" t="inlineStr">
        <is>
          <t>driver</t>
        </is>
      </c>
      <c r="E178" s="8" t="inlineStr">
        <is>
          <t>signed_either</t>
        </is>
      </c>
      <c r="F178" s="10" t="inlineStr">
        <is>
          <t>manual_zero</t>
        </is>
      </c>
      <c r="G178" s="8" t="inlineStr">
        <is>
          <t>E6</t>
        </is>
      </c>
      <c r="H178" s="10" t="inlineStr">
        <is>
          <t>—</t>
        </is>
      </c>
      <c r="I178" s="8" t="inlineStr">
        <is>
          <t>recurring</t>
        </is>
      </c>
      <c r="J178" s="8" t="inlineStr"/>
    </row>
    <row r="179">
      <c r="A179" s="9" t="inlineStr">
        <is>
          <t>bs.equity.share_capital.close</t>
        </is>
      </c>
      <c r="B179" s="6" t="inlineStr">
        <is>
          <t>BS</t>
        </is>
      </c>
      <c r="C179" s="6" t="inlineStr">
        <is>
          <t>equity</t>
        </is>
      </c>
      <c r="D179" s="6" t="inlineStr">
        <is>
          <t>derived</t>
        </is>
      </c>
      <c r="E179" s="6" t="inlineStr">
        <is>
          <t>positive</t>
        </is>
      </c>
      <c r="F179" s="9" t="inlineStr">
        <is>
          <t>—</t>
        </is>
      </c>
      <c r="G179" s="6" t="inlineStr">
        <is>
          <t>E6</t>
        </is>
      </c>
      <c r="H179" s="9" t="inlineStr">
        <is>
          <t>—</t>
        </is>
      </c>
      <c r="I179" s="6" t="inlineStr">
        <is>
          <t>—</t>
        </is>
      </c>
      <c r="J179" s="6" t="inlineStr"/>
    </row>
    <row r="180">
      <c r="A180" s="10" t="inlineStr">
        <is>
          <t>bs.equity.retained_earnings_open</t>
        </is>
      </c>
      <c r="B180" s="8" t="inlineStr">
        <is>
          <t>BS</t>
        </is>
      </c>
      <c r="C180" s="8" t="inlineStr">
        <is>
          <t>equity</t>
        </is>
      </c>
      <c r="D180" s="8" t="inlineStr">
        <is>
          <t>reference</t>
        </is>
      </c>
      <c r="E180" s="8" t="inlineStr">
        <is>
          <t>positive</t>
        </is>
      </c>
      <c r="F180" s="10" t="inlineStr">
        <is>
          <t>—</t>
        </is>
      </c>
      <c r="G180" s="8" t="inlineStr">
        <is>
          <t>E7</t>
        </is>
      </c>
      <c r="H180" s="10" t="inlineStr">
        <is>
          <t>—</t>
        </is>
      </c>
      <c r="I180" s="8" t="inlineStr">
        <is>
          <t>—</t>
        </is>
      </c>
      <c r="J180" s="8" t="inlineStr"/>
    </row>
    <row r="181">
      <c r="A181" s="9" t="inlineStr">
        <is>
          <t>bs.equity.retained_earnings.close</t>
        </is>
      </c>
      <c r="B181" s="6" t="inlineStr">
        <is>
          <t>BS</t>
        </is>
      </c>
      <c r="C181" s="6" t="inlineStr">
        <is>
          <t>equity</t>
        </is>
      </c>
      <c r="D181" s="6" t="inlineStr">
        <is>
          <t>derived</t>
        </is>
      </c>
      <c r="E181" s="6" t="inlineStr">
        <is>
          <t>positive</t>
        </is>
      </c>
      <c r="F181" s="9" t="inlineStr">
        <is>
          <t>retained_earnings_identity</t>
        </is>
      </c>
      <c r="G181" s="6" t="inlineStr">
        <is>
          <t>E7</t>
        </is>
      </c>
      <c r="H181" s="9" t="inlineStr">
        <is>
          <t>—</t>
        </is>
      </c>
      <c r="I181" s="6" t="inlineStr">
        <is>
          <t>—</t>
        </is>
      </c>
      <c r="J181" s="6">
        <f> open + NI + dividends_paid</f>
        <v/>
      </c>
    </row>
    <row r="182">
      <c r="A182" s="10" t="inlineStr">
        <is>
          <t>bs.equity.oci_cumulative_open</t>
        </is>
      </c>
      <c r="B182" s="8" t="inlineStr">
        <is>
          <t>BS</t>
        </is>
      </c>
      <c r="C182" s="8" t="inlineStr">
        <is>
          <t>equity</t>
        </is>
      </c>
      <c r="D182" s="8" t="inlineStr">
        <is>
          <t>reference</t>
        </is>
      </c>
      <c r="E182" s="8" t="inlineStr">
        <is>
          <t>signed_either</t>
        </is>
      </c>
      <c r="F182" s="10" t="inlineStr">
        <is>
          <t>—</t>
        </is>
      </c>
      <c r="G182" s="8" t="inlineStr">
        <is>
          <t>E6</t>
        </is>
      </c>
      <c r="H182" s="10" t="inlineStr">
        <is>
          <t>—</t>
        </is>
      </c>
      <c r="I182" s="8" t="inlineStr">
        <is>
          <t>—</t>
        </is>
      </c>
      <c r="J182" s="8" t="inlineStr"/>
    </row>
    <row r="183">
      <c r="A183" s="9" t="inlineStr">
        <is>
          <t>bs.equity.oci_cumulative.close</t>
        </is>
      </c>
      <c r="B183" s="6" t="inlineStr">
        <is>
          <t>BS</t>
        </is>
      </c>
      <c r="C183" s="6" t="inlineStr">
        <is>
          <t>equity</t>
        </is>
      </c>
      <c r="D183" s="6" t="inlineStr">
        <is>
          <t>derived</t>
        </is>
      </c>
      <c r="E183" s="6" t="inlineStr">
        <is>
          <t>signed_either</t>
        </is>
      </c>
      <c r="F183" s="9" t="inlineStr">
        <is>
          <t>—</t>
        </is>
      </c>
      <c r="G183" s="6" t="inlineStr">
        <is>
          <t>E6</t>
        </is>
      </c>
      <c r="H183" s="9" t="inlineStr">
        <is>
          <t>—</t>
        </is>
      </c>
      <c r="I183" s="6" t="inlineStr">
        <is>
          <t>—</t>
        </is>
      </c>
      <c r="J183" s="6" t="inlineStr"/>
    </row>
    <row r="184">
      <c r="A184" s="10" t="inlineStr">
        <is>
          <t>bs.equity.nci.close</t>
        </is>
      </c>
      <c r="B184" s="8" t="inlineStr">
        <is>
          <t>BS</t>
        </is>
      </c>
      <c r="C184" s="8" t="inlineStr">
        <is>
          <t>equity</t>
        </is>
      </c>
      <c r="D184" s="8" t="inlineStr">
        <is>
          <t>derived</t>
        </is>
      </c>
      <c r="E184" s="8" t="inlineStr">
        <is>
          <t>positive</t>
        </is>
      </c>
      <c r="F184" s="10" t="inlineStr">
        <is>
          <t>—</t>
        </is>
      </c>
      <c r="G184" s="8" t="inlineStr">
        <is>
          <t>E6</t>
        </is>
      </c>
      <c r="H184" s="10" t="inlineStr">
        <is>
          <t>—</t>
        </is>
      </c>
      <c r="I184" s="8" t="inlineStr">
        <is>
          <t>—</t>
        </is>
      </c>
      <c r="J184" s="8" t="inlineStr"/>
    </row>
    <row r="185">
      <c r="A185" s="9" t="inlineStr">
        <is>
          <t>bs.equity.total_close</t>
        </is>
      </c>
      <c r="B185" s="6" t="inlineStr">
        <is>
          <t>BS</t>
        </is>
      </c>
      <c r="C185" s="6" t="inlineStr">
        <is>
          <t>equity</t>
        </is>
      </c>
      <c r="D185" s="6" t="inlineStr">
        <is>
          <t>derived</t>
        </is>
      </c>
      <c r="E185" s="6" t="inlineStr">
        <is>
          <t>positive</t>
        </is>
      </c>
      <c r="F185" s="9" t="inlineStr">
        <is>
          <t>subtotal_aggregation</t>
        </is>
      </c>
      <c r="G185" s="6" t="inlineStr">
        <is>
          <t>E7</t>
        </is>
      </c>
      <c r="H185" s="9" t="inlineStr">
        <is>
          <t>—</t>
        </is>
      </c>
      <c r="I185" s="6" t="inlineStr">
        <is>
          <t>—</t>
        </is>
      </c>
      <c r="J185" s="6" t="inlineStr"/>
    </row>
    <row r="186">
      <c r="A186" s="10" t="inlineStr">
        <is>
          <t>bs.tax.dta_open</t>
        </is>
      </c>
      <c r="B186" s="8" t="inlineStr">
        <is>
          <t>BS</t>
        </is>
      </c>
      <c r="C186" s="8" t="inlineStr">
        <is>
          <t>tax</t>
        </is>
      </c>
      <c r="D186" s="8" t="inlineStr">
        <is>
          <t>reference</t>
        </is>
      </c>
      <c r="E186" s="8" t="inlineStr">
        <is>
          <t>positive</t>
        </is>
      </c>
      <c r="F186" s="10" t="inlineStr">
        <is>
          <t>—</t>
        </is>
      </c>
      <c r="G186" s="8" t="inlineStr">
        <is>
          <t>E6</t>
        </is>
      </c>
      <c r="H186" s="10" t="inlineStr">
        <is>
          <t>—</t>
        </is>
      </c>
      <c r="I186" s="8" t="inlineStr">
        <is>
          <t>—</t>
        </is>
      </c>
      <c r="J186" s="8" t="inlineStr"/>
    </row>
    <row r="187">
      <c r="A187" s="9" t="inlineStr">
        <is>
          <t>bs.tax.dta_movement</t>
        </is>
      </c>
      <c r="B187" s="6" t="inlineStr">
        <is>
          <t>BS</t>
        </is>
      </c>
      <c r="C187" s="6" t="inlineStr">
        <is>
          <t>tax</t>
        </is>
      </c>
      <c r="D187" s="6" t="inlineStr">
        <is>
          <t>driver</t>
        </is>
      </c>
      <c r="E187" s="6" t="inlineStr">
        <is>
          <t>signed_either</t>
        </is>
      </c>
      <c r="F187" s="9" t="inlineStr">
        <is>
          <t>deferred_tax_simplified</t>
        </is>
      </c>
      <c r="G187" s="6" t="inlineStr">
        <is>
          <t>E6</t>
        </is>
      </c>
      <c r="H187" s="9" t="inlineStr">
        <is>
          <t>—</t>
        </is>
      </c>
      <c r="I187" s="6" t="inlineStr">
        <is>
          <t>recurring</t>
        </is>
      </c>
      <c r="J187" s="6" t="inlineStr"/>
    </row>
    <row r="188">
      <c r="A188" s="10" t="inlineStr">
        <is>
          <t>bs.tax.dta_close</t>
        </is>
      </c>
      <c r="B188" s="8" t="inlineStr">
        <is>
          <t>BS</t>
        </is>
      </c>
      <c r="C188" s="8" t="inlineStr">
        <is>
          <t>tax</t>
        </is>
      </c>
      <c r="D188" s="8" t="inlineStr">
        <is>
          <t>derived</t>
        </is>
      </c>
      <c r="E188" s="8" t="inlineStr">
        <is>
          <t>positive</t>
        </is>
      </c>
      <c r="F188" s="10" t="inlineStr">
        <is>
          <t>—</t>
        </is>
      </c>
      <c r="G188" s="8" t="inlineStr">
        <is>
          <t>E6</t>
        </is>
      </c>
      <c r="H188" s="10" t="inlineStr">
        <is>
          <t>—</t>
        </is>
      </c>
      <c r="I188" s="8" t="inlineStr">
        <is>
          <t>—</t>
        </is>
      </c>
      <c r="J188" s="8" t="inlineStr"/>
    </row>
    <row r="189">
      <c r="A189" s="9" t="inlineStr">
        <is>
          <t>bs.tax.dtl_open</t>
        </is>
      </c>
      <c r="B189" s="6" t="inlineStr">
        <is>
          <t>BS</t>
        </is>
      </c>
      <c r="C189" s="6" t="inlineStr">
        <is>
          <t>tax</t>
        </is>
      </c>
      <c r="D189" s="6" t="inlineStr">
        <is>
          <t>reference</t>
        </is>
      </c>
      <c r="E189" s="6" t="inlineStr">
        <is>
          <t>negative</t>
        </is>
      </c>
      <c r="F189" s="9" t="inlineStr">
        <is>
          <t>—</t>
        </is>
      </c>
      <c r="G189" s="6" t="inlineStr">
        <is>
          <t>E6</t>
        </is>
      </c>
      <c r="H189" s="9" t="inlineStr">
        <is>
          <t>—</t>
        </is>
      </c>
      <c r="I189" s="6" t="inlineStr">
        <is>
          <t>—</t>
        </is>
      </c>
      <c r="J189" s="6" t="inlineStr"/>
    </row>
    <row r="190">
      <c r="A190" s="10" t="inlineStr">
        <is>
          <t>bs.tax.dtl_movement</t>
        </is>
      </c>
      <c r="B190" s="8" t="inlineStr">
        <is>
          <t>BS</t>
        </is>
      </c>
      <c r="C190" s="8" t="inlineStr">
        <is>
          <t>tax</t>
        </is>
      </c>
      <c r="D190" s="8" t="inlineStr">
        <is>
          <t>driver</t>
        </is>
      </c>
      <c r="E190" s="8" t="inlineStr">
        <is>
          <t>signed_either</t>
        </is>
      </c>
      <c r="F190" s="10" t="inlineStr">
        <is>
          <t>deferred_tax_simplified</t>
        </is>
      </c>
      <c r="G190" s="8" t="inlineStr">
        <is>
          <t>E6</t>
        </is>
      </c>
      <c r="H190" s="10" t="inlineStr">
        <is>
          <t>—</t>
        </is>
      </c>
      <c r="I190" s="8" t="inlineStr">
        <is>
          <t>recurring</t>
        </is>
      </c>
      <c r="J190" s="8" t="inlineStr"/>
    </row>
    <row r="191">
      <c r="A191" s="9" t="inlineStr">
        <is>
          <t>bs.tax.dtl_close</t>
        </is>
      </c>
      <c r="B191" s="6" t="inlineStr">
        <is>
          <t>BS</t>
        </is>
      </c>
      <c r="C191" s="6" t="inlineStr">
        <is>
          <t>tax</t>
        </is>
      </c>
      <c r="D191" s="6" t="inlineStr">
        <is>
          <t>derived</t>
        </is>
      </c>
      <c r="E191" s="6" t="inlineStr">
        <is>
          <t>negative</t>
        </is>
      </c>
      <c r="F191" s="9" t="inlineStr">
        <is>
          <t>—</t>
        </is>
      </c>
      <c r="G191" s="6" t="inlineStr">
        <is>
          <t>E6</t>
        </is>
      </c>
      <c r="H191" s="9" t="inlineStr">
        <is>
          <t>—</t>
        </is>
      </c>
      <c r="I191" s="6" t="inlineStr">
        <is>
          <t>—</t>
        </is>
      </c>
      <c r="J191" s="6" t="inlineStr"/>
    </row>
    <row r="192">
      <c r="A192" s="10" t="inlineStr">
        <is>
          <t>bs.tax.nol_carryforward.open</t>
        </is>
      </c>
      <c r="B192" s="8" t="inlineStr">
        <is>
          <t>BS</t>
        </is>
      </c>
      <c r="C192" s="8" t="inlineStr">
        <is>
          <t>tax</t>
        </is>
      </c>
      <c r="D192" s="8" t="inlineStr">
        <is>
          <t>reference</t>
        </is>
      </c>
      <c r="E192" s="8" t="inlineStr">
        <is>
          <t>positive</t>
        </is>
      </c>
      <c r="F192" s="10" t="inlineStr">
        <is>
          <t>—</t>
        </is>
      </c>
      <c r="G192" s="8" t="inlineStr">
        <is>
          <t>E7</t>
        </is>
      </c>
      <c r="H192" s="10" t="inlineStr">
        <is>
          <t>—</t>
        </is>
      </c>
      <c r="I192" s="8" t="inlineStr">
        <is>
          <t>—</t>
        </is>
      </c>
      <c r="J192" s="8" t="inlineStr">
        <is>
          <t>Pilot v1.1 advanced</t>
        </is>
      </c>
    </row>
    <row r="193">
      <c r="A193" s="9" t="inlineStr">
        <is>
          <t>bs.tax.nol_carryforward.close</t>
        </is>
      </c>
      <c r="B193" s="6" t="inlineStr">
        <is>
          <t>BS</t>
        </is>
      </c>
      <c r="C193" s="6" t="inlineStr">
        <is>
          <t>tax</t>
        </is>
      </c>
      <c r="D193" s="6" t="inlineStr">
        <is>
          <t>derived</t>
        </is>
      </c>
      <c r="E193" s="6" t="inlineStr">
        <is>
          <t>positive</t>
        </is>
      </c>
      <c r="F193" s="9" t="inlineStr">
        <is>
          <t>—</t>
        </is>
      </c>
      <c r="G193" s="6" t="inlineStr">
        <is>
          <t>E7</t>
        </is>
      </c>
      <c r="H193" s="9" t="inlineStr">
        <is>
          <t>—</t>
        </is>
      </c>
      <c r="I193" s="6" t="inlineStr">
        <is>
          <t>—</t>
        </is>
      </c>
      <c r="J193" s="6" t="inlineStr"/>
    </row>
    <row r="194">
      <c r="A194" s="10" t="inlineStr">
        <is>
          <t>bs.provisions.warranty.balance_open</t>
        </is>
      </c>
      <c r="B194" s="8" t="inlineStr">
        <is>
          <t>BS</t>
        </is>
      </c>
      <c r="C194" s="8" t="inlineStr">
        <is>
          <t>provisions</t>
        </is>
      </c>
      <c r="D194" s="8" t="inlineStr">
        <is>
          <t>reference</t>
        </is>
      </c>
      <c r="E194" s="8" t="inlineStr">
        <is>
          <t>negative</t>
        </is>
      </c>
      <c r="F194" s="10" t="inlineStr">
        <is>
          <t>—</t>
        </is>
      </c>
      <c r="G194" s="8" t="inlineStr">
        <is>
          <t>E5</t>
        </is>
      </c>
      <c r="H194" s="10" t="inlineStr">
        <is>
          <t>—</t>
        </is>
      </c>
      <c r="I194" s="8" t="inlineStr">
        <is>
          <t>—</t>
        </is>
      </c>
      <c r="J194" s="8" t="inlineStr"/>
    </row>
    <row r="195">
      <c r="A195" s="9" t="inlineStr">
        <is>
          <t>bs.provisions.warranty.usage</t>
        </is>
      </c>
      <c r="B195" s="6" t="inlineStr">
        <is>
          <t>BS</t>
        </is>
      </c>
      <c r="C195" s="6" t="inlineStr">
        <is>
          <t>provisions</t>
        </is>
      </c>
      <c r="D195" s="6" t="inlineStr">
        <is>
          <t>driver</t>
        </is>
      </c>
      <c r="E195" s="6" t="inlineStr">
        <is>
          <t>positive</t>
        </is>
      </c>
      <c r="F195" s="9" t="inlineStr">
        <is>
          <t>warranty_usage_pct_balance</t>
        </is>
      </c>
      <c r="G195" s="6" t="inlineStr">
        <is>
          <t>E5</t>
        </is>
      </c>
      <c r="H195" s="9" t="inlineStr">
        <is>
          <t>bs.provisions.warranty.balance_close</t>
        </is>
      </c>
      <c r="I195" s="6" t="inlineStr">
        <is>
          <t>recurring</t>
        </is>
      </c>
      <c r="J195" s="6" t="inlineStr"/>
    </row>
    <row r="196">
      <c r="A196" s="10" t="inlineStr">
        <is>
          <t>bs.provisions.warranty.balance_close</t>
        </is>
      </c>
      <c r="B196" s="8" t="inlineStr">
        <is>
          <t>BS</t>
        </is>
      </c>
      <c r="C196" s="8" t="inlineStr">
        <is>
          <t>provisions</t>
        </is>
      </c>
      <c r="D196" s="8" t="inlineStr">
        <is>
          <t>derived</t>
        </is>
      </c>
      <c r="E196" s="8" t="inlineStr">
        <is>
          <t>negative</t>
        </is>
      </c>
      <c r="F196" s="10" t="inlineStr">
        <is>
          <t>—</t>
        </is>
      </c>
      <c r="G196" s="8" t="inlineStr">
        <is>
          <t>E5</t>
        </is>
      </c>
      <c r="H196" s="10" t="inlineStr">
        <is>
          <t>—</t>
        </is>
      </c>
      <c r="I196" s="8" t="inlineStr">
        <is>
          <t>—</t>
        </is>
      </c>
      <c r="J196" s="8" t="inlineStr"/>
    </row>
    <row r="197">
      <c r="A197" s="9" t="inlineStr">
        <is>
          <t>bs.provisions.restructuring.balance_open</t>
        </is>
      </c>
      <c r="B197" s="6" t="inlineStr">
        <is>
          <t>BS</t>
        </is>
      </c>
      <c r="C197" s="6" t="inlineStr">
        <is>
          <t>provisions</t>
        </is>
      </c>
      <c r="D197" s="6" t="inlineStr">
        <is>
          <t>reference</t>
        </is>
      </c>
      <c r="E197" s="6" t="inlineStr">
        <is>
          <t>negative</t>
        </is>
      </c>
      <c r="F197" s="9" t="inlineStr">
        <is>
          <t>—</t>
        </is>
      </c>
      <c r="G197" s="6" t="inlineStr">
        <is>
          <t>E5</t>
        </is>
      </c>
      <c r="H197" s="9" t="inlineStr">
        <is>
          <t>—</t>
        </is>
      </c>
      <c r="I197" s="6" t="inlineStr">
        <is>
          <t>—</t>
        </is>
      </c>
      <c r="J197" s="6" t="inlineStr"/>
    </row>
    <row r="198">
      <c r="A198" s="10" t="inlineStr">
        <is>
          <t>bs.provisions.restructuring.usage</t>
        </is>
      </c>
      <c r="B198" s="8" t="inlineStr">
        <is>
          <t>BS</t>
        </is>
      </c>
      <c r="C198" s="8" t="inlineStr">
        <is>
          <t>provisions</t>
        </is>
      </c>
      <c r="D198" s="8" t="inlineStr">
        <is>
          <t>driver</t>
        </is>
      </c>
      <c r="E198" s="8" t="inlineStr">
        <is>
          <t>positive</t>
        </is>
      </c>
      <c r="F198" s="10" t="inlineStr">
        <is>
          <t>manual_provision_schedule</t>
        </is>
      </c>
      <c r="G198" s="8" t="inlineStr">
        <is>
          <t>E5</t>
        </is>
      </c>
      <c r="H198" s="10" t="inlineStr">
        <is>
          <t>—</t>
        </is>
      </c>
      <c r="I198" s="8" t="inlineStr">
        <is>
          <t>non_recurring_extraordinary</t>
        </is>
      </c>
      <c r="J198" s="8" t="inlineStr"/>
    </row>
    <row r="199">
      <c r="A199" s="9" t="inlineStr">
        <is>
          <t>bs.provisions.restructuring.balance_close</t>
        </is>
      </c>
      <c r="B199" s="6" t="inlineStr">
        <is>
          <t>BS</t>
        </is>
      </c>
      <c r="C199" s="6" t="inlineStr">
        <is>
          <t>provisions</t>
        </is>
      </c>
      <c r="D199" s="6" t="inlineStr">
        <is>
          <t>derived</t>
        </is>
      </c>
      <c r="E199" s="6" t="inlineStr">
        <is>
          <t>negative</t>
        </is>
      </c>
      <c r="F199" s="9" t="inlineStr">
        <is>
          <t>—</t>
        </is>
      </c>
      <c r="G199" s="6" t="inlineStr">
        <is>
          <t>E5</t>
        </is>
      </c>
      <c r="H199" s="9" t="inlineStr">
        <is>
          <t>—</t>
        </is>
      </c>
      <c r="I199" s="6" t="inlineStr">
        <is>
          <t>—</t>
        </is>
      </c>
      <c r="J199" s="6" t="inlineStr"/>
    </row>
    <row r="200">
      <c r="A200" s="10" t="inlineStr">
        <is>
          <t>bs.provisions.legal_other.balance_open</t>
        </is>
      </c>
      <c r="B200" s="8" t="inlineStr">
        <is>
          <t>BS</t>
        </is>
      </c>
      <c r="C200" s="8" t="inlineStr">
        <is>
          <t>provisions</t>
        </is>
      </c>
      <c r="D200" s="8" t="inlineStr">
        <is>
          <t>reference</t>
        </is>
      </c>
      <c r="E200" s="8" t="inlineStr">
        <is>
          <t>negative</t>
        </is>
      </c>
      <c r="F200" s="10" t="inlineStr">
        <is>
          <t>—</t>
        </is>
      </c>
      <c r="G200" s="8" t="inlineStr">
        <is>
          <t>E5</t>
        </is>
      </c>
      <c r="H200" s="10" t="inlineStr">
        <is>
          <t>—</t>
        </is>
      </c>
      <c r="I200" s="8" t="inlineStr">
        <is>
          <t>—</t>
        </is>
      </c>
      <c r="J200" s="8" t="inlineStr"/>
    </row>
    <row r="201">
      <c r="A201" s="9" t="inlineStr">
        <is>
          <t>bs.provisions.legal_other.usage</t>
        </is>
      </c>
      <c r="B201" s="6" t="inlineStr">
        <is>
          <t>BS</t>
        </is>
      </c>
      <c r="C201" s="6" t="inlineStr">
        <is>
          <t>provisions</t>
        </is>
      </c>
      <c r="D201" s="6" t="inlineStr">
        <is>
          <t>driver</t>
        </is>
      </c>
      <c r="E201" s="6" t="inlineStr">
        <is>
          <t>positive</t>
        </is>
      </c>
      <c r="F201" s="9" t="inlineStr">
        <is>
          <t>manual_provision_schedule</t>
        </is>
      </c>
      <c r="G201" s="6" t="inlineStr">
        <is>
          <t>E5</t>
        </is>
      </c>
      <c r="H201" s="9" t="inlineStr">
        <is>
          <t>—</t>
        </is>
      </c>
      <c r="I201" s="6" t="inlineStr">
        <is>
          <t>non_recurring_extraordinary</t>
        </is>
      </c>
      <c r="J201" s="6" t="inlineStr"/>
    </row>
    <row r="202">
      <c r="A202" s="10" t="inlineStr">
        <is>
          <t>bs.provisions.legal_other.balance_close</t>
        </is>
      </c>
      <c r="B202" s="8" t="inlineStr">
        <is>
          <t>BS</t>
        </is>
      </c>
      <c r="C202" s="8" t="inlineStr">
        <is>
          <t>provisions</t>
        </is>
      </c>
      <c r="D202" s="8" t="inlineStr">
        <is>
          <t>derived</t>
        </is>
      </c>
      <c r="E202" s="8" t="inlineStr">
        <is>
          <t>negative</t>
        </is>
      </c>
      <c r="F202" s="10" t="inlineStr">
        <is>
          <t>—</t>
        </is>
      </c>
      <c r="G202" s="8" t="inlineStr">
        <is>
          <t>E5</t>
        </is>
      </c>
      <c r="H202" s="10" t="inlineStr">
        <is>
          <t>—</t>
        </is>
      </c>
      <c r="I202" s="8" t="inlineStr">
        <is>
          <t>—</t>
        </is>
      </c>
      <c r="J202" s="8" t="inlineStr"/>
    </row>
    <row r="203">
      <c r="A203" s="9" t="inlineStr">
        <is>
          <t>bs.provisions.other.balance_open</t>
        </is>
      </c>
      <c r="B203" s="6" t="inlineStr">
        <is>
          <t>BS</t>
        </is>
      </c>
      <c r="C203" s="6" t="inlineStr">
        <is>
          <t>provisions</t>
        </is>
      </c>
      <c r="D203" s="6" t="inlineStr">
        <is>
          <t>reference</t>
        </is>
      </c>
      <c r="E203" s="6" t="inlineStr">
        <is>
          <t>negative</t>
        </is>
      </c>
      <c r="F203" s="9" t="inlineStr">
        <is>
          <t>—</t>
        </is>
      </c>
      <c r="G203" s="6" t="inlineStr">
        <is>
          <t>E5</t>
        </is>
      </c>
      <c r="H203" s="9" t="inlineStr">
        <is>
          <t>—</t>
        </is>
      </c>
      <c r="I203" s="6" t="inlineStr">
        <is>
          <t>—</t>
        </is>
      </c>
      <c r="J203" s="6" t="inlineStr"/>
    </row>
    <row r="204">
      <c r="A204" s="10" t="inlineStr">
        <is>
          <t>bs.provisions.other.usage</t>
        </is>
      </c>
      <c r="B204" s="8" t="inlineStr">
        <is>
          <t>BS</t>
        </is>
      </c>
      <c r="C204" s="8" t="inlineStr">
        <is>
          <t>provisions</t>
        </is>
      </c>
      <c r="D204" s="8" t="inlineStr">
        <is>
          <t>driver</t>
        </is>
      </c>
      <c r="E204" s="8" t="inlineStr">
        <is>
          <t>positive</t>
        </is>
      </c>
      <c r="F204" s="10" t="inlineStr">
        <is>
          <t>manual_zero</t>
        </is>
      </c>
      <c r="G204" s="8" t="inlineStr">
        <is>
          <t>E5</t>
        </is>
      </c>
      <c r="H204" s="10" t="inlineStr">
        <is>
          <t>—</t>
        </is>
      </c>
      <c r="I204" s="8" t="inlineStr">
        <is>
          <t>—</t>
        </is>
      </c>
      <c r="J204" s="8" t="inlineStr"/>
    </row>
    <row r="205">
      <c r="A205" s="9" t="inlineStr">
        <is>
          <t>bs.provisions.other.balance_close</t>
        </is>
      </c>
      <c r="B205" s="6" t="inlineStr">
        <is>
          <t>BS</t>
        </is>
      </c>
      <c r="C205" s="6" t="inlineStr">
        <is>
          <t>provisions</t>
        </is>
      </c>
      <c r="D205" s="6" t="inlineStr">
        <is>
          <t>derived</t>
        </is>
      </c>
      <c r="E205" s="6" t="inlineStr">
        <is>
          <t>negative</t>
        </is>
      </c>
      <c r="F205" s="9" t="inlineStr">
        <is>
          <t>—</t>
        </is>
      </c>
      <c r="G205" s="6" t="inlineStr">
        <is>
          <t>E5</t>
        </is>
      </c>
      <c r="H205" s="9" t="inlineStr">
        <is>
          <t>—</t>
        </is>
      </c>
      <c r="I205" s="6" t="inlineStr">
        <is>
          <t>—</t>
        </is>
      </c>
      <c r="J205" s="6" t="inlineStr"/>
    </row>
    <row r="206">
      <c r="A206" s="10" t="inlineStr">
        <is>
          <t>bs.provisions.total_close</t>
        </is>
      </c>
      <c r="B206" s="8" t="inlineStr">
        <is>
          <t>BS</t>
        </is>
      </c>
      <c r="C206" s="8" t="inlineStr">
        <is>
          <t>provisions</t>
        </is>
      </c>
      <c r="D206" s="8" t="inlineStr">
        <is>
          <t>derived</t>
        </is>
      </c>
      <c r="E206" s="8" t="inlineStr">
        <is>
          <t>negative</t>
        </is>
      </c>
      <c r="F206" s="10" t="inlineStr">
        <is>
          <t>subtotal_aggregation</t>
        </is>
      </c>
      <c r="G206" s="8" t="inlineStr">
        <is>
          <t>E5</t>
        </is>
      </c>
      <c r="H206" s="10" t="inlineStr">
        <is>
          <t>—</t>
        </is>
      </c>
      <c r="I206" s="8" t="inlineStr">
        <is>
          <t>—</t>
        </is>
      </c>
      <c r="J206" s="8" t="inlineStr"/>
    </row>
    <row r="207">
      <c r="A207" s="9" t="inlineStr">
        <is>
          <t>bs.employee_benefits.balance_open</t>
        </is>
      </c>
      <c r="B207" s="6" t="inlineStr">
        <is>
          <t>BS</t>
        </is>
      </c>
      <c r="C207" s="6" t="inlineStr">
        <is>
          <t>employee_benefits</t>
        </is>
      </c>
      <c r="D207" s="6" t="inlineStr">
        <is>
          <t>reference</t>
        </is>
      </c>
      <c r="E207" s="6" t="inlineStr">
        <is>
          <t>negative</t>
        </is>
      </c>
      <c r="F207" s="9" t="inlineStr">
        <is>
          <t>—</t>
        </is>
      </c>
      <c r="G207" s="6" t="inlineStr">
        <is>
          <t>E5</t>
        </is>
      </c>
      <c r="H207" s="9" t="inlineStr">
        <is>
          <t>—</t>
        </is>
      </c>
      <c r="I207" s="6" t="inlineStr">
        <is>
          <t>—</t>
        </is>
      </c>
      <c r="J207" s="6" t="inlineStr"/>
    </row>
    <row r="208">
      <c r="A208" s="10" t="inlineStr">
        <is>
          <t>bs.employee_benefits.service_cost</t>
        </is>
      </c>
      <c r="B208" s="8" t="inlineStr">
        <is>
          <t>BS</t>
        </is>
      </c>
      <c r="C208" s="8" t="inlineStr">
        <is>
          <t>employee_benefits</t>
        </is>
      </c>
      <c r="D208" s="8" t="inlineStr">
        <is>
          <t>driver</t>
        </is>
      </c>
      <c r="E208" s="8" t="inlineStr">
        <is>
          <t>negative</t>
        </is>
      </c>
      <c r="F208" s="10" t="inlineStr">
        <is>
          <t>employee_benefits_service_cost_rate</t>
        </is>
      </c>
      <c r="G208" s="8" t="inlineStr">
        <is>
          <t>E5</t>
        </is>
      </c>
      <c r="H208" s="10" t="inlineStr">
        <is>
          <t>labour costs</t>
        </is>
      </c>
      <c r="I208" s="8" t="inlineStr">
        <is>
          <t>recurring</t>
        </is>
      </c>
      <c r="J208" s="8" t="inlineStr">
        <is>
          <t>% costo lavoro totale</t>
        </is>
      </c>
    </row>
    <row r="209">
      <c r="A209" s="9" t="inlineStr">
        <is>
          <t>bs.employee_benefits.interest_cost</t>
        </is>
      </c>
      <c r="B209" s="6" t="inlineStr">
        <is>
          <t>BS</t>
        </is>
      </c>
      <c r="C209" s="6" t="inlineStr">
        <is>
          <t>employee_benefits</t>
        </is>
      </c>
      <c r="D209" s="6" t="inlineStr">
        <is>
          <t>derived</t>
        </is>
      </c>
      <c r="E209" s="6" t="inlineStr">
        <is>
          <t>negative</t>
        </is>
      </c>
      <c r="F209" s="9" t="inlineStr">
        <is>
          <t>employee_benefits_interest_cost</t>
        </is>
      </c>
      <c r="G209" s="6" t="inlineStr">
        <is>
          <t>E5</t>
        </is>
      </c>
      <c r="H209" s="9" t="inlineStr">
        <is>
          <t>—</t>
        </is>
      </c>
      <c r="I209" s="6" t="inlineStr">
        <is>
          <t>recurring</t>
        </is>
      </c>
      <c r="J209" s="6" t="inlineStr">
        <is>
          <t>Sub-circolarità con proxy</t>
        </is>
      </c>
    </row>
    <row r="210">
      <c r="A210" s="10" t="inlineStr">
        <is>
          <t>bs.employee_benefits.payments_to_employees</t>
        </is>
      </c>
      <c r="B210" s="8" t="inlineStr">
        <is>
          <t>BS</t>
        </is>
      </c>
      <c r="C210" s="8" t="inlineStr">
        <is>
          <t>employee_benefits</t>
        </is>
      </c>
      <c r="D210" s="8" t="inlineStr">
        <is>
          <t>driver</t>
        </is>
      </c>
      <c r="E210" s="8" t="inlineStr">
        <is>
          <t>positive</t>
        </is>
      </c>
      <c r="F210" s="10" t="inlineStr">
        <is>
          <t>employee_benefits_payments_pct_balance</t>
        </is>
      </c>
      <c r="G210" s="8" t="inlineStr">
        <is>
          <t>E5</t>
        </is>
      </c>
      <c r="H210" s="10" t="inlineStr">
        <is>
          <t>bs.employee_benefits.balance_close</t>
        </is>
      </c>
      <c r="I210" s="8" t="inlineStr">
        <is>
          <t>recurring</t>
        </is>
      </c>
      <c r="J210" s="8" t="inlineStr"/>
    </row>
    <row r="211">
      <c r="A211" s="9" t="inlineStr">
        <is>
          <t>bs.employee_benefits.actuarial_changes</t>
        </is>
      </c>
      <c r="B211" s="6" t="inlineStr">
        <is>
          <t>BS</t>
        </is>
      </c>
      <c r="C211" s="6" t="inlineStr">
        <is>
          <t>employee_benefits</t>
        </is>
      </c>
      <c r="D211" s="6" t="inlineStr">
        <is>
          <t>driver</t>
        </is>
      </c>
      <c r="E211" s="6" t="inlineStr">
        <is>
          <t>signed_either</t>
        </is>
      </c>
      <c r="F211" s="9" t="inlineStr">
        <is>
          <t>manual_zero</t>
        </is>
      </c>
      <c r="G211" s="6" t="inlineStr">
        <is>
          <t>E5</t>
        </is>
      </c>
      <c r="H211" s="9" t="inlineStr">
        <is>
          <t>—</t>
        </is>
      </c>
      <c r="I211" s="6" t="inlineStr">
        <is>
          <t>non_recurring_extraordinary</t>
        </is>
      </c>
      <c r="J211" s="6" t="inlineStr">
        <is>
          <t>→ flussa a OCI</t>
        </is>
      </c>
    </row>
    <row r="212">
      <c r="A212" s="10" t="inlineStr">
        <is>
          <t>bs.employee_benefits.balance_close</t>
        </is>
      </c>
      <c r="B212" s="8" t="inlineStr">
        <is>
          <t>BS</t>
        </is>
      </c>
      <c r="C212" s="8" t="inlineStr">
        <is>
          <t>employee_benefits</t>
        </is>
      </c>
      <c r="D212" s="8" t="inlineStr">
        <is>
          <t>derived</t>
        </is>
      </c>
      <c r="E212" s="8" t="inlineStr">
        <is>
          <t>negative</t>
        </is>
      </c>
      <c r="F212" s="10" t="inlineStr">
        <is>
          <t>—</t>
        </is>
      </c>
      <c r="G212" s="8" t="inlineStr">
        <is>
          <t>E5</t>
        </is>
      </c>
      <c r="H212" s="10" t="inlineStr">
        <is>
          <t>—</t>
        </is>
      </c>
      <c r="I212" s="8" t="inlineStr">
        <is>
          <t>—</t>
        </is>
      </c>
      <c r="J212" s="8" t="inlineStr"/>
    </row>
    <row r="213">
      <c r="A213" s="9" t="inlineStr">
        <is>
          <t>bs.total_assets</t>
        </is>
      </c>
      <c r="B213" s="6" t="inlineStr">
        <is>
          <t>BS</t>
        </is>
      </c>
      <c r="C213" s="6" t="inlineStr">
        <is>
          <t>totals</t>
        </is>
      </c>
      <c r="D213" s="6" t="inlineStr">
        <is>
          <t>derived</t>
        </is>
      </c>
      <c r="E213" s="6" t="inlineStr">
        <is>
          <t>positive</t>
        </is>
      </c>
      <c r="F213" s="9" t="inlineStr">
        <is>
          <t>—</t>
        </is>
      </c>
      <c r="G213" s="6" t="inlineStr">
        <is>
          <t>E8</t>
        </is>
      </c>
      <c r="H213" s="9" t="inlineStr">
        <is>
          <t>—</t>
        </is>
      </c>
      <c r="I213" s="6" t="inlineStr">
        <is>
          <t>—</t>
        </is>
      </c>
      <c r="J213" s="6" t="inlineStr">
        <is>
          <t>SUM asset side</t>
        </is>
      </c>
    </row>
    <row r="214">
      <c r="A214" s="10" t="inlineStr">
        <is>
          <t>bs.total_liabilities_equity</t>
        </is>
      </c>
      <c r="B214" s="8" t="inlineStr">
        <is>
          <t>BS</t>
        </is>
      </c>
      <c r="C214" s="8" t="inlineStr">
        <is>
          <t>totals</t>
        </is>
      </c>
      <c r="D214" s="8" t="inlineStr">
        <is>
          <t>derived</t>
        </is>
      </c>
      <c r="E214" s="8" t="inlineStr">
        <is>
          <t>positive</t>
        </is>
      </c>
      <c r="F214" s="10" t="inlineStr">
        <is>
          <t>—</t>
        </is>
      </c>
      <c r="G214" s="8" t="inlineStr">
        <is>
          <t>E8</t>
        </is>
      </c>
      <c r="H214" s="10" t="inlineStr">
        <is>
          <t>—</t>
        </is>
      </c>
      <c r="I214" s="8" t="inlineStr">
        <is>
          <t>—</t>
        </is>
      </c>
      <c r="J214" s="8" t="inlineStr">
        <is>
          <t>SUM liability + equity</t>
        </is>
      </c>
    </row>
    <row r="215">
      <c r="A215" s="9" t="inlineStr">
        <is>
          <t>bs.balance_check</t>
        </is>
      </c>
      <c r="B215" s="6" t="inlineStr">
        <is>
          <t>BS</t>
        </is>
      </c>
      <c r="C215" s="6" t="inlineStr">
        <is>
          <t>totals</t>
        </is>
      </c>
      <c r="D215" s="6" t="inlineStr">
        <is>
          <t>derived</t>
        </is>
      </c>
      <c r="E215" s="6" t="inlineStr">
        <is>
          <t>signed_either</t>
        </is>
      </c>
      <c r="F215" s="9" t="inlineStr">
        <is>
          <t>balance_check</t>
        </is>
      </c>
      <c r="G215" s="6" t="inlineStr">
        <is>
          <t>E8</t>
        </is>
      </c>
      <c r="H215" s="9" t="inlineStr">
        <is>
          <t>—</t>
        </is>
      </c>
      <c r="I215" s="6" t="inlineStr">
        <is>
          <t>—</t>
        </is>
      </c>
      <c r="J215" s="6" t="inlineStr">
        <is>
          <t>Tolleranza max(1.0, 0.0001×|TA|)</t>
        </is>
      </c>
    </row>
    <row r="216">
      <c r="A216" s="10" t="inlineStr">
        <is>
          <t>cf.operating.net_income</t>
        </is>
      </c>
      <c r="B216" s="8" t="inlineStr">
        <is>
          <t>CF</t>
        </is>
      </c>
      <c r="C216" s="8" t="inlineStr">
        <is>
          <t>operating</t>
        </is>
      </c>
      <c r="D216" s="8" t="inlineStr">
        <is>
          <t>derived</t>
        </is>
      </c>
      <c r="E216" s="8" t="inlineStr">
        <is>
          <t>signed_either</t>
        </is>
      </c>
      <c r="F216" s="10" t="inlineStr">
        <is>
          <t>—</t>
        </is>
      </c>
      <c r="G216" s="8" t="inlineStr">
        <is>
          <t>E8</t>
        </is>
      </c>
      <c r="H216" s="10" t="inlineStr">
        <is>
          <t>pl.net_income</t>
        </is>
      </c>
      <c r="I216" s="8" t="inlineStr">
        <is>
          <t>—</t>
        </is>
      </c>
      <c r="J216" s="8" t="inlineStr"/>
    </row>
    <row r="217">
      <c r="A217" s="9" t="inlineStr">
        <is>
          <t>cf.operating.da_addback</t>
        </is>
      </c>
      <c r="B217" s="6" t="inlineStr">
        <is>
          <t>CF</t>
        </is>
      </c>
      <c r="C217" s="6" t="inlineStr">
        <is>
          <t>operating</t>
        </is>
      </c>
      <c r="D217" s="6" t="inlineStr">
        <is>
          <t>derived</t>
        </is>
      </c>
      <c r="E217" s="6" t="inlineStr">
        <is>
          <t>positive</t>
        </is>
      </c>
      <c r="F217" s="9" t="inlineStr">
        <is>
          <t>—</t>
        </is>
      </c>
      <c r="G217" s="6" t="inlineStr">
        <is>
          <t>E8</t>
        </is>
      </c>
      <c r="H217" s="9" t="inlineStr">
        <is>
          <t>pl.da.total</t>
        </is>
      </c>
      <c r="I217" s="6" t="inlineStr">
        <is>
          <t>—</t>
        </is>
      </c>
      <c r="J217" s="6">
        <f> -pl.da.total</f>
        <v/>
      </c>
    </row>
    <row r="218">
      <c r="A218" s="10" t="inlineStr">
        <is>
          <t>cf.operating.impairment_addback</t>
        </is>
      </c>
      <c r="B218" s="8" t="inlineStr">
        <is>
          <t>CF</t>
        </is>
      </c>
      <c r="C218" s="8" t="inlineStr">
        <is>
          <t>operating</t>
        </is>
      </c>
      <c r="D218" s="8" t="inlineStr">
        <is>
          <t>derived</t>
        </is>
      </c>
      <c r="E218" s="8" t="inlineStr">
        <is>
          <t>positive</t>
        </is>
      </c>
      <c r="F218" s="10" t="inlineStr">
        <is>
          <t>—</t>
        </is>
      </c>
      <c r="G218" s="8" t="inlineStr">
        <is>
          <t>E8</t>
        </is>
      </c>
      <c r="H218" s="10" t="inlineStr">
        <is>
          <t>pl.impairment.total</t>
        </is>
      </c>
      <c r="I218" s="8" t="inlineStr">
        <is>
          <t>—</t>
        </is>
      </c>
      <c r="J218" s="8" t="inlineStr"/>
    </row>
    <row r="219">
      <c r="A219" s="9" t="inlineStr">
        <is>
          <t>cf.operating.provisions_addback</t>
        </is>
      </c>
      <c r="B219" s="6" t="inlineStr">
        <is>
          <t>CF</t>
        </is>
      </c>
      <c r="C219" s="6" t="inlineStr">
        <is>
          <t>operating</t>
        </is>
      </c>
      <c r="D219" s="6" t="inlineStr">
        <is>
          <t>derived</t>
        </is>
      </c>
      <c r="E219" s="6" t="inlineStr">
        <is>
          <t>signed_either</t>
        </is>
      </c>
      <c r="F219" s="9" t="inlineStr">
        <is>
          <t>—</t>
        </is>
      </c>
      <c r="G219" s="6" t="inlineStr">
        <is>
          <t>E8</t>
        </is>
      </c>
      <c r="H219" s="9" t="inlineStr">
        <is>
          <t>pl.provisions.total, usages</t>
        </is>
      </c>
      <c r="I219" s="6" t="inlineStr">
        <is>
          <t>—</t>
        </is>
      </c>
      <c r="J219" s="6" t="inlineStr"/>
    </row>
    <row r="220">
      <c r="A220" s="10" t="inlineStr">
        <is>
          <t>cf.operating.tax_deferred_addback</t>
        </is>
      </c>
      <c r="B220" s="8" t="inlineStr">
        <is>
          <t>CF</t>
        </is>
      </c>
      <c r="C220" s="8" t="inlineStr">
        <is>
          <t>operating</t>
        </is>
      </c>
      <c r="D220" s="8" t="inlineStr">
        <is>
          <t>derived</t>
        </is>
      </c>
      <c r="E220" s="8" t="inlineStr">
        <is>
          <t>signed_either</t>
        </is>
      </c>
      <c r="F220" s="10" t="inlineStr">
        <is>
          <t>—</t>
        </is>
      </c>
      <c r="G220" s="8" t="inlineStr">
        <is>
          <t>E8</t>
        </is>
      </c>
      <c r="H220" s="10" t="inlineStr">
        <is>
          <t>pl.tax.deferred</t>
        </is>
      </c>
      <c r="I220" s="8" t="inlineStr">
        <is>
          <t>—</t>
        </is>
      </c>
      <c r="J220" s="8" t="inlineStr"/>
    </row>
    <row r="221">
      <c r="A221" s="9" t="inlineStr">
        <is>
          <t>cf.operating.financial_addback</t>
        </is>
      </c>
      <c r="B221" s="6" t="inlineStr">
        <is>
          <t>CF</t>
        </is>
      </c>
      <c r="C221" s="6" t="inlineStr">
        <is>
          <t>operating</t>
        </is>
      </c>
      <c r="D221" s="6" t="inlineStr">
        <is>
          <t>derived</t>
        </is>
      </c>
      <c r="E221" s="6" t="inlineStr">
        <is>
          <t>signed_either</t>
        </is>
      </c>
      <c r="F221" s="9" t="inlineStr">
        <is>
          <t>—</t>
        </is>
      </c>
      <c r="G221" s="6" t="inlineStr">
        <is>
          <t>E8</t>
        </is>
      </c>
      <c r="H221" s="9" t="inlineStr">
        <is>
          <t>pl.financial.total_net</t>
        </is>
      </c>
      <c r="I221" s="6" t="inlineStr">
        <is>
          <t>—</t>
        </is>
      </c>
      <c r="J221" s="6" t="inlineStr">
        <is>
          <t>Riclassifica a financing</t>
        </is>
      </c>
    </row>
    <row r="222">
      <c r="A222" s="10" t="inlineStr">
        <is>
          <t>cf.operating.equity_method_addback</t>
        </is>
      </c>
      <c r="B222" s="8" t="inlineStr">
        <is>
          <t>CF</t>
        </is>
      </c>
      <c r="C222" s="8" t="inlineStr">
        <is>
          <t>operating</t>
        </is>
      </c>
      <c r="D222" s="8" t="inlineStr">
        <is>
          <t>derived</t>
        </is>
      </c>
      <c r="E222" s="8" t="inlineStr">
        <is>
          <t>signed_either</t>
        </is>
      </c>
      <c r="F222" s="10" t="inlineStr">
        <is>
          <t>—</t>
        </is>
      </c>
      <c r="G222" s="8" t="inlineStr">
        <is>
          <t>E8</t>
        </is>
      </c>
      <c r="H222" s="10" t="inlineStr">
        <is>
          <t>pl.equity_method_result</t>
        </is>
      </c>
      <c r="I222" s="8" t="inlineStr">
        <is>
          <t>—</t>
        </is>
      </c>
      <c r="J222" s="8" t="inlineStr"/>
    </row>
    <row r="223">
      <c r="A223" s="9" t="inlineStr">
        <is>
          <t>cf.operating.fv_addback</t>
        </is>
      </c>
      <c r="B223" s="6" t="inlineStr">
        <is>
          <t>CF</t>
        </is>
      </c>
      <c r="C223" s="6" t="inlineStr">
        <is>
          <t>operating</t>
        </is>
      </c>
      <c r="D223" s="6" t="inlineStr">
        <is>
          <t>derived</t>
        </is>
      </c>
      <c r="E223" s="6" t="inlineStr">
        <is>
          <t>signed_either</t>
        </is>
      </c>
      <c r="F223" s="9" t="inlineStr">
        <is>
          <t>—</t>
        </is>
      </c>
      <c r="G223" s="6" t="inlineStr">
        <is>
          <t>E8</t>
        </is>
      </c>
      <c r="H223" s="9" t="inlineStr">
        <is>
          <t>pl.other.fair_value_gain_loss_investment_property</t>
        </is>
      </c>
      <c r="I223" s="6" t="inlineStr">
        <is>
          <t>—</t>
        </is>
      </c>
      <c r="J223" s="6" t="inlineStr">
        <is>
          <t>Non-cash</t>
        </is>
      </c>
    </row>
    <row r="224">
      <c r="A224" s="10" t="inlineStr">
        <is>
          <t>cf.operating.nwc_change</t>
        </is>
      </c>
      <c r="B224" s="8" t="inlineStr">
        <is>
          <t>CF</t>
        </is>
      </c>
      <c r="C224" s="8" t="inlineStr">
        <is>
          <t>operating</t>
        </is>
      </c>
      <c r="D224" s="8" t="inlineStr">
        <is>
          <t>derived</t>
        </is>
      </c>
      <c r="E224" s="8" t="inlineStr">
        <is>
          <t>signed_either</t>
        </is>
      </c>
      <c r="F224" s="10" t="inlineStr">
        <is>
          <t>nwc_change_for_cf</t>
        </is>
      </c>
      <c r="G224" s="8" t="inlineStr">
        <is>
          <t>E8</t>
        </is>
      </c>
      <c r="H224" s="10" t="inlineStr">
        <is>
          <t>bs.nwc.operating</t>
        </is>
      </c>
      <c r="I224" s="8" t="inlineStr">
        <is>
          <t>—</t>
        </is>
      </c>
      <c r="J224" s="8" t="inlineStr"/>
    </row>
    <row r="225">
      <c r="A225" s="9" t="inlineStr">
        <is>
          <t>cf.operating.tax_paid</t>
        </is>
      </c>
      <c r="B225" s="6" t="inlineStr">
        <is>
          <t>CF</t>
        </is>
      </c>
      <c r="C225" s="6" t="inlineStr">
        <is>
          <t>operating</t>
        </is>
      </c>
      <c r="D225" s="6" t="inlineStr">
        <is>
          <t>derived</t>
        </is>
      </c>
      <c r="E225" s="6" t="inlineStr">
        <is>
          <t>negative</t>
        </is>
      </c>
      <c r="F225" s="9" t="inlineStr">
        <is>
          <t>—</t>
        </is>
      </c>
      <c r="G225" s="6" t="inlineStr">
        <is>
          <t>E8</t>
        </is>
      </c>
      <c r="H225" s="9" t="inlineStr">
        <is>
          <t>pl.tax.current, CIT NWC</t>
        </is>
      </c>
      <c r="I225" s="6" t="inlineStr">
        <is>
          <t>—</t>
        </is>
      </c>
      <c r="J225" s="6" t="inlineStr"/>
    </row>
    <row r="226">
      <c r="A226" s="10" t="inlineStr">
        <is>
          <t>cf.operating.employee_benefits_paid</t>
        </is>
      </c>
      <c r="B226" s="8" t="inlineStr">
        <is>
          <t>CF</t>
        </is>
      </c>
      <c r="C226" s="8" t="inlineStr">
        <is>
          <t>operating</t>
        </is>
      </c>
      <c r="D226" s="8" t="inlineStr">
        <is>
          <t>derived</t>
        </is>
      </c>
      <c r="E226" s="8" t="inlineStr">
        <is>
          <t>negative</t>
        </is>
      </c>
      <c r="F226" s="10" t="inlineStr">
        <is>
          <t>—</t>
        </is>
      </c>
      <c r="G226" s="8" t="inlineStr">
        <is>
          <t>E8</t>
        </is>
      </c>
      <c r="H226" s="10" t="inlineStr">
        <is>
          <t>bs.employee_benefits.payments</t>
        </is>
      </c>
      <c r="I226" s="8" t="inlineStr">
        <is>
          <t>—</t>
        </is>
      </c>
      <c r="J226" s="8" t="inlineStr"/>
    </row>
    <row r="227">
      <c r="A227" s="9" t="inlineStr">
        <is>
          <t>cf.operating.total</t>
        </is>
      </c>
      <c r="B227" s="6" t="inlineStr">
        <is>
          <t>CF</t>
        </is>
      </c>
      <c r="C227" s="6" t="inlineStr">
        <is>
          <t>operating</t>
        </is>
      </c>
      <c r="D227" s="6" t="inlineStr">
        <is>
          <t>derived</t>
        </is>
      </c>
      <c r="E227" s="6" t="inlineStr">
        <is>
          <t>signed_either</t>
        </is>
      </c>
      <c r="F227" s="9" t="inlineStr">
        <is>
          <t>subtotal_aggregation</t>
        </is>
      </c>
      <c r="G227" s="6" t="inlineStr">
        <is>
          <t>E8</t>
        </is>
      </c>
      <c r="H227" s="9" t="inlineStr">
        <is>
          <t>—</t>
        </is>
      </c>
      <c r="I227" s="6" t="inlineStr">
        <is>
          <t>—</t>
        </is>
      </c>
      <c r="J227" s="6" t="inlineStr"/>
    </row>
    <row r="228">
      <c r="A228" s="10" t="inlineStr">
        <is>
          <t>cf.investing.capex_ppe</t>
        </is>
      </c>
      <c r="B228" s="8" t="inlineStr">
        <is>
          <t>CF</t>
        </is>
      </c>
      <c r="C228" s="8" t="inlineStr">
        <is>
          <t>investing</t>
        </is>
      </c>
      <c r="D228" s="8" t="inlineStr">
        <is>
          <t>derived</t>
        </is>
      </c>
      <c r="E228" s="8" t="inlineStr">
        <is>
          <t>negative</t>
        </is>
      </c>
      <c r="F228" s="10" t="inlineStr">
        <is>
          <t>—</t>
        </is>
      </c>
      <c r="G228" s="8" t="inlineStr">
        <is>
          <t>E8</t>
        </is>
      </c>
      <c r="H228" s="10" t="inlineStr">
        <is>
          <t>bs.fa.tangible.capex</t>
        </is>
      </c>
      <c r="I228" s="8" t="inlineStr">
        <is>
          <t>—</t>
        </is>
      </c>
      <c r="J228" s="8" t="inlineStr"/>
    </row>
    <row r="229">
      <c r="A229" s="9" t="inlineStr">
        <is>
          <t>cf.investing.capex_intangibles</t>
        </is>
      </c>
      <c r="B229" s="6" t="inlineStr">
        <is>
          <t>CF</t>
        </is>
      </c>
      <c r="C229" s="6" t="inlineStr">
        <is>
          <t>investing</t>
        </is>
      </c>
      <c r="D229" s="6" t="inlineStr">
        <is>
          <t>derived</t>
        </is>
      </c>
      <c r="E229" s="6" t="inlineStr">
        <is>
          <t>negative</t>
        </is>
      </c>
      <c r="F229" s="9" t="inlineStr">
        <is>
          <t>—</t>
        </is>
      </c>
      <c r="G229" s="6" t="inlineStr">
        <is>
          <t>E8</t>
        </is>
      </c>
      <c r="H229" s="9" t="inlineStr">
        <is>
          <t>bs.fa.intangible.software_capex</t>
        </is>
      </c>
      <c r="I229" s="6" t="inlineStr">
        <is>
          <t>—</t>
        </is>
      </c>
      <c r="J229" s="6" t="inlineStr"/>
    </row>
    <row r="230">
      <c r="A230" s="10" t="inlineStr">
        <is>
          <t>cf.investing.disposals_ppe</t>
        </is>
      </c>
      <c r="B230" s="8" t="inlineStr">
        <is>
          <t>CF</t>
        </is>
      </c>
      <c r="C230" s="8" t="inlineStr">
        <is>
          <t>investing</t>
        </is>
      </c>
      <c r="D230" s="8" t="inlineStr">
        <is>
          <t>derived</t>
        </is>
      </c>
      <c r="E230" s="8" t="inlineStr">
        <is>
          <t>positive</t>
        </is>
      </c>
      <c r="F230" s="10" t="inlineStr">
        <is>
          <t>—</t>
        </is>
      </c>
      <c r="G230" s="8" t="inlineStr">
        <is>
          <t>E8</t>
        </is>
      </c>
      <c r="H230" s="10" t="inlineStr">
        <is>
          <t>bs.fa.tangible.disposals</t>
        </is>
      </c>
      <c r="I230" s="8" t="inlineStr">
        <is>
          <t>—</t>
        </is>
      </c>
      <c r="J230" s="8" t="inlineStr">
        <is>
          <t>Vendita a NBV (semplif.)</t>
        </is>
      </c>
    </row>
    <row r="231">
      <c r="A231" s="9" t="inlineStr">
        <is>
          <t>cf.investing.disposals_intangibles</t>
        </is>
      </c>
      <c r="B231" s="6" t="inlineStr">
        <is>
          <t>CF</t>
        </is>
      </c>
      <c r="C231" s="6" t="inlineStr">
        <is>
          <t>investing</t>
        </is>
      </c>
      <c r="D231" s="6" t="inlineStr">
        <is>
          <t>derived</t>
        </is>
      </c>
      <c r="E231" s="6" t="inlineStr">
        <is>
          <t>positive</t>
        </is>
      </c>
      <c r="F231" s="9" t="inlineStr">
        <is>
          <t>—</t>
        </is>
      </c>
      <c r="G231" s="6" t="inlineStr">
        <is>
          <t>E8</t>
        </is>
      </c>
      <c r="H231" s="9" t="inlineStr">
        <is>
          <t>bs.fa.intangible.disposals</t>
        </is>
      </c>
      <c r="I231" s="6" t="inlineStr">
        <is>
          <t>—</t>
        </is>
      </c>
      <c r="J231" s="6" t="inlineStr"/>
    </row>
    <row r="232">
      <c r="A232" s="10" t="inlineStr">
        <is>
          <t>cf.investing.investment_property_change</t>
        </is>
      </c>
      <c r="B232" s="8" t="inlineStr">
        <is>
          <t>CF</t>
        </is>
      </c>
      <c r="C232" s="8" t="inlineStr">
        <is>
          <t>investing</t>
        </is>
      </c>
      <c r="D232" s="8" t="inlineStr">
        <is>
          <t>derived</t>
        </is>
      </c>
      <c r="E232" s="8" t="inlineStr">
        <is>
          <t>signed_either</t>
        </is>
      </c>
      <c r="F232" s="10" t="inlineStr">
        <is>
          <t>—</t>
        </is>
      </c>
      <c r="G232" s="8" t="inlineStr">
        <is>
          <t>E8</t>
        </is>
      </c>
      <c r="H232" s="10" t="inlineStr">
        <is>
          <t>bs.fa.investment_property</t>
        </is>
      </c>
      <c r="I232" s="8" t="inlineStr">
        <is>
          <t>—</t>
        </is>
      </c>
      <c r="J232" s="8" t="inlineStr">
        <is>
          <t>Esclude FV revaluation (non-cash)</t>
        </is>
      </c>
    </row>
    <row r="233">
      <c r="A233" s="9" t="inlineStr">
        <is>
          <t>cf.investing.financial_assets_movement</t>
        </is>
      </c>
      <c r="B233" s="6" t="inlineStr">
        <is>
          <t>CF</t>
        </is>
      </c>
      <c r="C233" s="6" t="inlineStr">
        <is>
          <t>investing</t>
        </is>
      </c>
      <c r="D233" s="6" t="inlineStr">
        <is>
          <t>derived</t>
        </is>
      </c>
      <c r="E233" s="6" t="inlineStr">
        <is>
          <t>signed_either</t>
        </is>
      </c>
      <c r="F233" s="9" t="inlineStr">
        <is>
          <t>—</t>
        </is>
      </c>
      <c r="G233" s="6" t="inlineStr">
        <is>
          <t>E8</t>
        </is>
      </c>
      <c r="H233" s="9" t="inlineStr">
        <is>
          <t>bs.fa.financial.movements</t>
        </is>
      </c>
      <c r="I233" s="6" t="inlineStr">
        <is>
          <t>—</t>
        </is>
      </c>
      <c r="J233" s="6" t="inlineStr"/>
    </row>
    <row r="234">
      <c r="A234" s="10" t="inlineStr">
        <is>
          <t>cf.investing.acquisitions_ma_placeholder</t>
        </is>
      </c>
      <c r="B234" s="8" t="inlineStr">
        <is>
          <t>CF</t>
        </is>
      </c>
      <c r="C234" s="8" t="inlineStr">
        <is>
          <t>investing</t>
        </is>
      </c>
      <c r="D234" s="8" t="inlineStr">
        <is>
          <t>derived</t>
        </is>
      </c>
      <c r="E234" s="8" t="inlineStr">
        <is>
          <t>negative</t>
        </is>
      </c>
      <c r="F234" s="10" t="inlineStr">
        <is>
          <t>—</t>
        </is>
      </c>
      <c r="G234" s="8" t="inlineStr">
        <is>
          <t>E8</t>
        </is>
      </c>
      <c r="H234" s="10" t="inlineStr">
        <is>
          <t>M&amp;A placeholder</t>
        </is>
      </c>
      <c r="I234" s="8" t="inlineStr">
        <is>
          <t>non_recurring_extraordinary</t>
        </is>
      </c>
      <c r="J234" s="8" t="inlineStr">
        <is>
          <t>Cash effect M&amp;A</t>
        </is>
      </c>
    </row>
    <row r="235">
      <c r="A235" s="9" t="inlineStr">
        <is>
          <t>cf.investing.divestitures_carve_out_placeholder</t>
        </is>
      </c>
      <c r="B235" s="6" t="inlineStr">
        <is>
          <t>CF</t>
        </is>
      </c>
      <c r="C235" s="6" t="inlineStr">
        <is>
          <t>investing</t>
        </is>
      </c>
      <c r="D235" s="6" t="inlineStr">
        <is>
          <t>derived</t>
        </is>
      </c>
      <c r="E235" s="6" t="inlineStr">
        <is>
          <t>positive</t>
        </is>
      </c>
      <c r="F235" s="9" t="inlineStr">
        <is>
          <t>—</t>
        </is>
      </c>
      <c r="G235" s="6" t="inlineStr">
        <is>
          <t>E8</t>
        </is>
      </c>
      <c r="H235" s="9" t="inlineStr">
        <is>
          <t>carve-out placeholder</t>
        </is>
      </c>
      <c r="I235" s="6" t="inlineStr">
        <is>
          <t>non_recurring_extraordinary</t>
        </is>
      </c>
      <c r="J235" s="6" t="inlineStr"/>
    </row>
    <row r="236">
      <c r="A236" s="10" t="inlineStr">
        <is>
          <t>cf.investing.total</t>
        </is>
      </c>
      <c r="B236" s="8" t="inlineStr">
        <is>
          <t>CF</t>
        </is>
      </c>
      <c r="C236" s="8" t="inlineStr">
        <is>
          <t>investing</t>
        </is>
      </c>
      <c r="D236" s="8" t="inlineStr">
        <is>
          <t>derived</t>
        </is>
      </c>
      <c r="E236" s="8" t="inlineStr">
        <is>
          <t>signed_either</t>
        </is>
      </c>
      <c r="F236" s="10" t="inlineStr">
        <is>
          <t>subtotal_aggregation</t>
        </is>
      </c>
      <c r="G236" s="8" t="inlineStr">
        <is>
          <t>E8</t>
        </is>
      </c>
      <c r="H236" s="10" t="inlineStr">
        <is>
          <t>—</t>
        </is>
      </c>
      <c r="I236" s="8" t="inlineStr">
        <is>
          <t>—</t>
        </is>
      </c>
      <c r="J236" s="8" t="inlineStr"/>
    </row>
    <row r="237">
      <c r="A237" s="9" t="inlineStr">
        <is>
          <t>cf.financing.borrowings_drawdowns</t>
        </is>
      </c>
      <c r="B237" s="6" t="inlineStr">
        <is>
          <t>CF</t>
        </is>
      </c>
      <c r="C237" s="6" t="inlineStr">
        <is>
          <t>financing</t>
        </is>
      </c>
      <c r="D237" s="6" t="inlineStr">
        <is>
          <t>derived</t>
        </is>
      </c>
      <c r="E237" s="6" t="inlineStr">
        <is>
          <t>positive</t>
        </is>
      </c>
      <c r="F237" s="9" t="inlineStr">
        <is>
          <t>—</t>
        </is>
      </c>
      <c r="G237" s="6" t="inlineStr">
        <is>
          <t>E8</t>
        </is>
      </c>
      <c r="H237" s="9" t="inlineStr">
        <is>
          <t>bs.nfp.borrowings.term_loan_drawdowns</t>
        </is>
      </c>
      <c r="I237" s="6" t="inlineStr">
        <is>
          <t>—</t>
        </is>
      </c>
      <c r="J237" s="6" t="inlineStr"/>
    </row>
    <row r="238">
      <c r="A238" s="10" t="inlineStr">
        <is>
          <t>cf.financing.borrowings_repayments</t>
        </is>
      </c>
      <c r="B238" s="8" t="inlineStr">
        <is>
          <t>CF</t>
        </is>
      </c>
      <c r="C238" s="8" t="inlineStr">
        <is>
          <t>financing</t>
        </is>
      </c>
      <c r="D238" s="8" t="inlineStr">
        <is>
          <t>derived</t>
        </is>
      </c>
      <c r="E238" s="8" t="inlineStr">
        <is>
          <t>negative</t>
        </is>
      </c>
      <c r="F238" s="10" t="inlineStr">
        <is>
          <t>—</t>
        </is>
      </c>
      <c r="G238" s="8" t="inlineStr">
        <is>
          <t>E8</t>
        </is>
      </c>
      <c r="H238" s="10" t="inlineStr">
        <is>
          <t>bs.nfp.borrowings.term_loan_repayments</t>
        </is>
      </c>
      <c r="I238" s="8" t="inlineStr">
        <is>
          <t>—</t>
        </is>
      </c>
      <c r="J238" s="8" t="inlineStr"/>
    </row>
    <row r="239">
      <c r="A239" s="9" t="inlineStr">
        <is>
          <t>cf.financing.rcf_movement_cash</t>
        </is>
      </c>
      <c r="B239" s="6" t="inlineStr">
        <is>
          <t>CF</t>
        </is>
      </c>
      <c r="C239" s="6" t="inlineStr">
        <is>
          <t>financing</t>
        </is>
      </c>
      <c r="D239" s="6" t="inlineStr">
        <is>
          <t>derived</t>
        </is>
      </c>
      <c r="E239" s="6" t="inlineStr">
        <is>
          <t>signed_either</t>
        </is>
      </c>
      <c r="F239" s="9" t="inlineStr">
        <is>
          <t>—</t>
        </is>
      </c>
      <c r="G239" s="6" t="inlineStr">
        <is>
          <t>E8</t>
        </is>
      </c>
      <c r="H239" s="9" t="inlineStr">
        <is>
          <t>bs.nfp.borrowings.rcf_movement</t>
        </is>
      </c>
      <c r="I239" s="6" t="inlineStr">
        <is>
          <t>—</t>
        </is>
      </c>
      <c r="J239" s="6" t="inlineStr"/>
    </row>
    <row r="240">
      <c r="A240" s="10" t="inlineStr">
        <is>
          <t>cf.financing.bonds_movement_cash</t>
        </is>
      </c>
      <c r="B240" s="8" t="inlineStr">
        <is>
          <t>CF</t>
        </is>
      </c>
      <c r="C240" s="8" t="inlineStr">
        <is>
          <t>financing</t>
        </is>
      </c>
      <c r="D240" s="8" t="inlineStr">
        <is>
          <t>derived</t>
        </is>
      </c>
      <c r="E240" s="8" t="inlineStr">
        <is>
          <t>signed_either</t>
        </is>
      </c>
      <c r="F240" s="10" t="inlineStr">
        <is>
          <t>—</t>
        </is>
      </c>
      <c r="G240" s="8" t="inlineStr">
        <is>
          <t>E8</t>
        </is>
      </c>
      <c r="H240" s="10" t="inlineStr">
        <is>
          <t>bs.nfp.borrowings.bonds_movement</t>
        </is>
      </c>
      <c r="I240" s="8" t="inlineStr">
        <is>
          <t>—</t>
        </is>
      </c>
      <c r="J240" s="8" t="inlineStr"/>
    </row>
    <row r="241">
      <c r="A241" s="9" t="inlineStr">
        <is>
          <t>cf.financing.shareholder_loans_cash</t>
        </is>
      </c>
      <c r="B241" s="6" t="inlineStr">
        <is>
          <t>CF</t>
        </is>
      </c>
      <c r="C241" s="6" t="inlineStr">
        <is>
          <t>financing</t>
        </is>
      </c>
      <c r="D241" s="6" t="inlineStr">
        <is>
          <t>derived</t>
        </is>
      </c>
      <c r="E241" s="6" t="inlineStr">
        <is>
          <t>signed_either</t>
        </is>
      </c>
      <c r="F241" s="9" t="inlineStr">
        <is>
          <t>—</t>
        </is>
      </c>
      <c r="G241" s="6" t="inlineStr">
        <is>
          <t>E8</t>
        </is>
      </c>
      <c r="H241" s="9" t="inlineStr">
        <is>
          <t>bs.nfp.borrowings.shareholder</t>
        </is>
      </c>
      <c r="I241" s="6" t="inlineStr">
        <is>
          <t>—</t>
        </is>
      </c>
      <c r="J241" s="6" t="inlineStr"/>
    </row>
    <row r="242">
      <c r="A242" s="10" t="inlineStr">
        <is>
          <t>cf.financing.lease_payments_principal</t>
        </is>
      </c>
      <c r="B242" s="8" t="inlineStr">
        <is>
          <t>CF</t>
        </is>
      </c>
      <c r="C242" s="8" t="inlineStr">
        <is>
          <t>financing</t>
        </is>
      </c>
      <c r="D242" s="8" t="inlineStr">
        <is>
          <t>derived</t>
        </is>
      </c>
      <c r="E242" s="8" t="inlineStr">
        <is>
          <t>negative</t>
        </is>
      </c>
      <c r="F242" s="10" t="inlineStr">
        <is>
          <t>—</t>
        </is>
      </c>
      <c r="G242" s="8" t="inlineStr">
        <is>
          <t>E8</t>
        </is>
      </c>
      <c r="H242" s="10" t="inlineStr">
        <is>
          <t>bs.nfp.lease_liability.payments_principal</t>
        </is>
      </c>
      <c r="I242" s="8" t="inlineStr">
        <is>
          <t>—</t>
        </is>
      </c>
      <c r="J242" s="8" t="inlineStr"/>
    </row>
    <row r="243">
      <c r="A243" s="9" t="inlineStr">
        <is>
          <t>cf.financing.interest_paid</t>
        </is>
      </c>
      <c r="B243" s="6" t="inlineStr">
        <is>
          <t>CF</t>
        </is>
      </c>
      <c r="C243" s="6" t="inlineStr">
        <is>
          <t>financing</t>
        </is>
      </c>
      <c r="D243" s="6" t="inlineStr">
        <is>
          <t>derived</t>
        </is>
      </c>
      <c r="E243" s="6" t="inlineStr">
        <is>
          <t>negative</t>
        </is>
      </c>
      <c r="F243" s="9" t="inlineStr">
        <is>
          <t>—</t>
        </is>
      </c>
      <c r="G243" s="6" t="inlineStr">
        <is>
          <t>E8</t>
        </is>
      </c>
      <c r="H243" s="9" t="inlineStr">
        <is>
          <t>pl.financial.interest_expense</t>
        </is>
      </c>
      <c r="I243" s="6" t="inlineStr">
        <is>
          <t>—</t>
        </is>
      </c>
      <c r="J243" s="6" t="inlineStr"/>
    </row>
    <row r="244">
      <c r="A244" s="10" t="inlineStr">
        <is>
          <t>cf.financing.lease_interest_paid</t>
        </is>
      </c>
      <c r="B244" s="8" t="inlineStr">
        <is>
          <t>CF</t>
        </is>
      </c>
      <c r="C244" s="8" t="inlineStr">
        <is>
          <t>financing</t>
        </is>
      </c>
      <c r="D244" s="8" t="inlineStr">
        <is>
          <t>derived</t>
        </is>
      </c>
      <c r="E244" s="8" t="inlineStr">
        <is>
          <t>negative</t>
        </is>
      </c>
      <c r="F244" s="10" t="inlineStr">
        <is>
          <t>—</t>
        </is>
      </c>
      <c r="G244" s="8" t="inlineStr">
        <is>
          <t>E8</t>
        </is>
      </c>
      <c r="H244" s="10" t="inlineStr">
        <is>
          <t>pl.financial.lease_interest</t>
        </is>
      </c>
      <c r="I244" s="8" t="inlineStr">
        <is>
          <t>—</t>
        </is>
      </c>
      <c r="J244" s="8" t="inlineStr"/>
    </row>
    <row r="245">
      <c r="A245" s="9" t="inlineStr">
        <is>
          <t>cf.financing.interest_received</t>
        </is>
      </c>
      <c r="B245" s="6" t="inlineStr">
        <is>
          <t>CF</t>
        </is>
      </c>
      <c r="C245" s="6" t="inlineStr">
        <is>
          <t>financing</t>
        </is>
      </c>
      <c r="D245" s="6" t="inlineStr">
        <is>
          <t>derived</t>
        </is>
      </c>
      <c r="E245" s="6" t="inlineStr">
        <is>
          <t>positive</t>
        </is>
      </c>
      <c r="F245" s="9" t="inlineStr">
        <is>
          <t>—</t>
        </is>
      </c>
      <c r="G245" s="6" t="inlineStr">
        <is>
          <t>E8</t>
        </is>
      </c>
      <c r="H245" s="9" t="inlineStr">
        <is>
          <t>pl.financial.interest_income</t>
        </is>
      </c>
      <c r="I245" s="6" t="inlineStr">
        <is>
          <t>—</t>
        </is>
      </c>
      <c r="J245" s="6" t="inlineStr"/>
    </row>
    <row r="246">
      <c r="A246" s="10" t="inlineStr">
        <is>
          <t>cf.financing.dividends</t>
        </is>
      </c>
      <c r="B246" s="8" t="inlineStr">
        <is>
          <t>CF</t>
        </is>
      </c>
      <c r="C246" s="8" t="inlineStr">
        <is>
          <t>financing</t>
        </is>
      </c>
      <c r="D246" s="8" t="inlineStr">
        <is>
          <t>derived</t>
        </is>
      </c>
      <c r="E246" s="8" t="inlineStr">
        <is>
          <t>negative</t>
        </is>
      </c>
      <c r="F246" s="10" t="inlineStr">
        <is>
          <t>—</t>
        </is>
      </c>
      <c r="G246" s="8" t="inlineStr">
        <is>
          <t>E8</t>
        </is>
      </c>
      <c r="H246" s="10" t="inlineStr">
        <is>
          <t>bs.equity.capital.dividends_paid</t>
        </is>
      </c>
      <c r="I246" s="8" t="inlineStr">
        <is>
          <t>—</t>
        </is>
      </c>
      <c r="J246" s="8" t="inlineStr">
        <is>
          <t>Già negativo (Step 1)</t>
        </is>
      </c>
    </row>
    <row r="247">
      <c r="A247" s="9" t="inlineStr">
        <is>
          <t>cf.financing.capital_changes</t>
        </is>
      </c>
      <c r="B247" s="6" t="inlineStr">
        <is>
          <t>CF</t>
        </is>
      </c>
      <c r="C247" s="6" t="inlineStr">
        <is>
          <t>financing</t>
        </is>
      </c>
      <c r="D247" s="6" t="inlineStr">
        <is>
          <t>derived</t>
        </is>
      </c>
      <c r="E247" s="6" t="inlineStr">
        <is>
          <t>signed_either</t>
        </is>
      </c>
      <c r="F247" s="9" t="inlineStr">
        <is>
          <t>—</t>
        </is>
      </c>
      <c r="G247" s="6" t="inlineStr">
        <is>
          <t>E8</t>
        </is>
      </c>
      <c r="H247" s="9" t="inlineStr">
        <is>
          <t>equity capital changes</t>
        </is>
      </c>
      <c r="I247" s="6" t="inlineStr">
        <is>
          <t>—</t>
        </is>
      </c>
      <c r="J247" s="6" t="inlineStr"/>
    </row>
    <row r="248">
      <c r="A248" s="10" t="inlineStr">
        <is>
          <t>cf.financing.total</t>
        </is>
      </c>
      <c r="B248" s="8" t="inlineStr">
        <is>
          <t>CF</t>
        </is>
      </c>
      <c r="C248" s="8" t="inlineStr">
        <is>
          <t>financing</t>
        </is>
      </c>
      <c r="D248" s="8" t="inlineStr">
        <is>
          <t>derived</t>
        </is>
      </c>
      <c r="E248" s="8" t="inlineStr">
        <is>
          <t>signed_either</t>
        </is>
      </c>
      <c r="F248" s="10" t="inlineStr">
        <is>
          <t>subtotal_aggregation</t>
        </is>
      </c>
      <c r="G248" s="8" t="inlineStr">
        <is>
          <t>E8</t>
        </is>
      </c>
      <c r="H248" s="10" t="inlineStr">
        <is>
          <t>—</t>
        </is>
      </c>
      <c r="I248" s="8" t="inlineStr">
        <is>
          <t>—</t>
        </is>
      </c>
      <c r="J248" s="8" t="inlineStr"/>
    </row>
    <row r="249">
      <c r="A249" s="9" t="inlineStr">
        <is>
          <t>cf.net_change_cash</t>
        </is>
      </c>
      <c r="B249" s="6" t="inlineStr">
        <is>
          <t>CF</t>
        </is>
      </c>
      <c r="C249" s="6" t="inlineStr">
        <is>
          <t>totals</t>
        </is>
      </c>
      <c r="D249" s="6" t="inlineStr">
        <is>
          <t>derived</t>
        </is>
      </c>
      <c r="E249" s="6" t="inlineStr">
        <is>
          <t>signed_either</t>
        </is>
      </c>
      <c r="F249" s="9" t="inlineStr">
        <is>
          <t>—</t>
        </is>
      </c>
      <c r="G249" s="6" t="inlineStr">
        <is>
          <t>E8</t>
        </is>
      </c>
      <c r="H249" s="9" t="inlineStr">
        <is>
          <t>—</t>
        </is>
      </c>
      <c r="I249" s="6" t="inlineStr">
        <is>
          <t>—</t>
        </is>
      </c>
      <c r="J249" s="6">
        <f> operating + investing + financing</f>
        <v/>
      </c>
    </row>
    <row r="250">
      <c r="A250" s="10" t="inlineStr">
        <is>
          <t>cf.cash_close</t>
        </is>
      </c>
      <c r="B250" s="8" t="inlineStr">
        <is>
          <t>CF</t>
        </is>
      </c>
      <c r="C250" s="8" t="inlineStr">
        <is>
          <t>totals</t>
        </is>
      </c>
      <c r="D250" s="8" t="inlineStr">
        <is>
          <t>derived</t>
        </is>
      </c>
      <c r="E250" s="8" t="inlineStr">
        <is>
          <t>positive</t>
        </is>
      </c>
      <c r="F250" s="10" t="inlineStr">
        <is>
          <t>—</t>
        </is>
      </c>
      <c r="G250" s="8" t="inlineStr">
        <is>
          <t>E8</t>
        </is>
      </c>
      <c r="H250" s="10" t="inlineStr">
        <is>
          <t>—</t>
        </is>
      </c>
      <c r="I250" s="8" t="inlineStr">
        <is>
          <t>—</t>
        </is>
      </c>
      <c r="J250" s="8" t="inlineStr">
        <is>
          <t>Identity check con bs.nfp.cash[t]</t>
        </is>
      </c>
    </row>
    <row r="252" ht="22" customHeight="1">
      <c r="A252" s="3" t="inlineStr">
        <is>
          <t>Totali: 246 voci catalogate</t>
        </is>
      </c>
    </row>
  </sheetData>
  <mergeCells count="3">
    <mergeCell ref="A252:J252"/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38" customWidth="1" min="3" max="3"/>
    <col width="38" customWidth="1" min="4" max="4"/>
    <col width="10" customWidth="1" min="5" max="5"/>
    <col width="16" customWidth="1" min="6" max="6"/>
    <col width="18" customWidth="1" min="7" max="7"/>
    <col width="35" customWidth="1" min="8" max="8"/>
  </cols>
  <sheetData>
    <row r="1" ht="28" customHeight="1">
      <c r="A1" s="1" t="inlineStr">
        <is>
          <t>KPI Registry — 87 KPI catalogati</t>
        </is>
      </c>
    </row>
    <row r="3" ht="22" customHeight="1">
      <c r="A3" s="3" t="inlineStr">
        <is>
          <t>11 famiglie: growth, margin, nwc_days, capex, leverage, return, tax, provisions, employee, equity, sector_specific</t>
        </is>
      </c>
    </row>
    <row r="4" ht="32" customHeight="1">
      <c r="A4" s="4" t="inlineStr">
        <is>
          <t>kpi_id</t>
        </is>
      </c>
      <c r="B4" s="4" t="inlineStr">
        <is>
          <t>famiglia</t>
        </is>
      </c>
      <c r="C4" s="4" t="inlineStr">
        <is>
          <t>numerator</t>
        </is>
      </c>
      <c r="D4" s="4" t="inlineStr">
        <is>
          <t>denominator</t>
        </is>
      </c>
      <c r="E4" s="4" t="inlineStr">
        <is>
          <t>unit</t>
        </is>
      </c>
      <c r="F4" s="4" t="inlineStr">
        <is>
          <t>sign_handling</t>
        </is>
      </c>
      <c r="G4" s="4" t="inlineStr">
        <is>
          <t>default_aggregation</t>
        </is>
      </c>
      <c r="H4" s="4" t="inlineStr">
        <is>
          <t>used_in_methods (esempi)</t>
        </is>
      </c>
    </row>
    <row r="5">
      <c r="A5" s="9" t="inlineStr">
        <is>
          <t>kpi.growth.revenue_yoy</t>
        </is>
      </c>
      <c r="B5" s="6" t="inlineStr">
        <is>
          <t>growth</t>
        </is>
      </c>
      <c r="C5" s="6" t="inlineStr">
        <is>
          <t>pl.rev.net[t]</t>
        </is>
      </c>
      <c r="D5" s="6" t="inlineStr">
        <is>
          <t>pl.rev.net[t-1]</t>
        </is>
      </c>
      <c r="E5" s="6" t="inlineStr">
        <is>
          <t>pct</t>
        </is>
      </c>
      <c r="F5" s="6" t="inlineStr">
        <is>
          <t>raw</t>
        </is>
      </c>
      <c r="G5" s="6" t="inlineStr">
        <is>
          <t>y0_value</t>
        </is>
      </c>
      <c r="H5" s="9" t="inlineStr">
        <is>
          <t>historical_avg_growth (M_EXT_002)</t>
        </is>
      </c>
    </row>
    <row r="6">
      <c r="A6" s="10" t="inlineStr">
        <is>
          <t>kpi.growth.revenue_cagr_3y</t>
        </is>
      </c>
      <c r="B6" s="8" t="inlineStr">
        <is>
          <t>growth</t>
        </is>
      </c>
      <c r="C6" s="8" t="inlineStr">
        <is>
          <t>pl.rev.net[t]</t>
        </is>
      </c>
      <c r="D6" s="8" t="inlineStr">
        <is>
          <t>pl.rev.net[t-3]</t>
        </is>
      </c>
      <c r="E6" s="8" t="inlineStr">
        <is>
          <t>pct</t>
        </is>
      </c>
      <c r="F6" s="8" t="inlineStr">
        <is>
          <t>raw</t>
        </is>
      </c>
      <c r="G6" s="8" t="inlineStr">
        <is>
          <t>last_3y_cagr</t>
        </is>
      </c>
      <c r="H6" s="10" t="inlineStr">
        <is>
          <t>cagr_extrapolation (M_EXT_003)</t>
        </is>
      </c>
    </row>
    <row r="7">
      <c r="A7" s="9" t="inlineStr">
        <is>
          <t>kpi.growth.gross_sales_yoy</t>
        </is>
      </c>
      <c r="B7" s="6" t="inlineStr">
        <is>
          <t>growth</t>
        </is>
      </c>
      <c r="C7" s="6" t="inlineStr">
        <is>
          <t>pl.rev.gross_total[t]</t>
        </is>
      </c>
      <c r="D7" s="6" t="inlineStr">
        <is>
          <t>pl.rev.gross_total[t-1]</t>
        </is>
      </c>
      <c r="E7" s="6" t="inlineStr">
        <is>
          <t>pct</t>
        </is>
      </c>
      <c r="F7" s="6" t="inlineStr">
        <is>
          <t>raw</t>
        </is>
      </c>
      <c r="G7" s="6" t="inlineStr">
        <is>
          <t>y0_value</t>
        </is>
      </c>
      <c r="H7" s="9" t="inlineStr"/>
    </row>
    <row r="8">
      <c r="A8" s="10" t="inlineStr">
        <is>
          <t>kpi.growth.gross_sales_cagr_3y</t>
        </is>
      </c>
      <c r="B8" s="8" t="inlineStr">
        <is>
          <t>growth</t>
        </is>
      </c>
      <c r="C8" s="8" t="inlineStr">
        <is>
          <t>pl.rev.gross_total[t]</t>
        </is>
      </c>
      <c r="D8" s="8" t="inlineStr">
        <is>
          <t>pl.rev.gross_total[t-3]</t>
        </is>
      </c>
      <c r="E8" s="8" t="inlineStr">
        <is>
          <t>pct</t>
        </is>
      </c>
      <c r="F8" s="8" t="inlineStr">
        <is>
          <t>raw</t>
        </is>
      </c>
      <c r="G8" s="8" t="inlineStr">
        <is>
          <t>last_3y_cagr</t>
        </is>
      </c>
      <c r="H8" s="10" t="inlineStr"/>
    </row>
    <row r="9">
      <c r="A9" s="9" t="inlineStr">
        <is>
          <t>kpi.growth.ebitda_yoy</t>
        </is>
      </c>
      <c r="B9" s="6" t="inlineStr">
        <is>
          <t>growth</t>
        </is>
      </c>
      <c r="C9" s="6" t="inlineStr">
        <is>
          <t>pl.ebitda[t]</t>
        </is>
      </c>
      <c r="D9" s="6" t="inlineStr">
        <is>
          <t>pl.ebitda[t-1]</t>
        </is>
      </c>
      <c r="E9" s="6" t="inlineStr">
        <is>
          <t>pct</t>
        </is>
      </c>
      <c r="F9" s="6" t="inlineStr">
        <is>
          <t>raw</t>
        </is>
      </c>
      <c r="G9" s="6" t="inlineStr">
        <is>
          <t>y0_value</t>
        </is>
      </c>
      <c r="H9" s="9" t="inlineStr"/>
    </row>
    <row r="10">
      <c r="A10" s="10" t="inlineStr">
        <is>
          <t>kpi.growth.ebitda_cagr_3y</t>
        </is>
      </c>
      <c r="B10" s="8" t="inlineStr">
        <is>
          <t>growth</t>
        </is>
      </c>
      <c r="C10" s="8" t="inlineStr">
        <is>
          <t>pl.ebitda[t]</t>
        </is>
      </c>
      <c r="D10" s="8" t="inlineStr">
        <is>
          <t>pl.ebitda[t-3]</t>
        </is>
      </c>
      <c r="E10" s="8" t="inlineStr">
        <is>
          <t>pct</t>
        </is>
      </c>
      <c r="F10" s="8" t="inlineStr">
        <is>
          <t>raw</t>
        </is>
      </c>
      <c r="G10" s="8" t="inlineStr">
        <is>
          <t>last_3y_cagr</t>
        </is>
      </c>
      <c r="H10" s="10" t="inlineStr"/>
    </row>
    <row r="11">
      <c r="A11" s="9" t="inlineStr">
        <is>
          <t>kpi.growth.opex_yoy</t>
        </is>
      </c>
      <c r="B11" s="6" t="inlineStr">
        <is>
          <t>growth</t>
        </is>
      </c>
      <c r="C11" s="6" t="inlineStr">
        <is>
          <t>pl.opex.total[t]</t>
        </is>
      </c>
      <c r="D11" s="6" t="inlineStr">
        <is>
          <t>pl.opex.total[t-1]</t>
        </is>
      </c>
      <c r="E11" s="6" t="inlineStr">
        <is>
          <t>pct</t>
        </is>
      </c>
      <c r="F11" s="6" t="inlineStr">
        <is>
          <t>abs_both</t>
        </is>
      </c>
      <c r="G11" s="6" t="inlineStr">
        <is>
          <t>y0_value</t>
        </is>
      </c>
      <c r="H11" s="9" t="inlineStr"/>
    </row>
    <row r="12">
      <c r="A12" s="10" t="inlineStr">
        <is>
          <t>kpi.growth.net_income_yoy</t>
        </is>
      </c>
      <c r="B12" s="8" t="inlineStr">
        <is>
          <t>growth</t>
        </is>
      </c>
      <c r="C12" s="8" t="inlineStr">
        <is>
          <t>pl.net_income[t]</t>
        </is>
      </c>
      <c r="D12" s="8" t="inlineStr">
        <is>
          <t>pl.net_income[t-1]</t>
        </is>
      </c>
      <c r="E12" s="8" t="inlineStr">
        <is>
          <t>pct</t>
        </is>
      </c>
      <c r="F12" s="8" t="inlineStr">
        <is>
          <t>raw</t>
        </is>
      </c>
      <c r="G12" s="8" t="inlineStr">
        <is>
          <t>y0_value</t>
        </is>
      </c>
      <c r="H12" s="10" t="inlineStr"/>
    </row>
    <row r="13">
      <c r="A13" s="9" t="inlineStr">
        <is>
          <t>kpi.growth.&lt;voice&gt;_yoy (template)</t>
        </is>
      </c>
      <c r="B13" s="6" t="inlineStr">
        <is>
          <t>growth</t>
        </is>
      </c>
      <c r="C13" s="6" t="inlineStr">
        <is>
          <t>&lt;voice&gt;[t]</t>
        </is>
      </c>
      <c r="D13" s="6" t="inlineStr">
        <is>
          <t>&lt;voice&gt;[t-1]</t>
        </is>
      </c>
      <c r="E13" s="6" t="inlineStr">
        <is>
          <t>pct</t>
        </is>
      </c>
      <c r="F13" s="6" t="inlineStr">
        <is>
          <t>raw</t>
        </is>
      </c>
      <c r="G13" s="6" t="inlineStr">
        <is>
          <t>y0_value</t>
        </is>
      </c>
      <c r="H13" s="9" t="inlineStr">
        <is>
          <t>Istanziato per ogni gross/cogs/opex</t>
        </is>
      </c>
    </row>
    <row r="14">
      <c r="A14" s="10" t="inlineStr">
        <is>
          <t>kpi.growth.&lt;voice&gt;_cagr_3y (template)</t>
        </is>
      </c>
      <c r="B14" s="8" t="inlineStr">
        <is>
          <t>growth</t>
        </is>
      </c>
      <c r="C14" s="8" t="inlineStr">
        <is>
          <t>&lt;voice&gt;[t]</t>
        </is>
      </c>
      <c r="D14" s="8" t="inlineStr">
        <is>
          <t>&lt;voice&gt;[t-3]</t>
        </is>
      </c>
      <c r="E14" s="8" t="inlineStr">
        <is>
          <t>pct</t>
        </is>
      </c>
      <c r="F14" s="8" t="inlineStr">
        <is>
          <t>raw</t>
        </is>
      </c>
      <c r="G14" s="8" t="inlineStr">
        <is>
          <t>last_3y_cagr</t>
        </is>
      </c>
      <c r="H14" s="10" t="inlineStr">
        <is>
          <t>Istanziato per ogni voce</t>
        </is>
      </c>
    </row>
    <row r="15">
      <c r="A15" s="9" t="inlineStr">
        <is>
          <t>kpi.margin.gross</t>
        </is>
      </c>
      <c r="B15" s="6" t="inlineStr">
        <is>
          <t>margin</t>
        </is>
      </c>
      <c r="C15" s="6" t="inlineStr">
        <is>
          <t>pl.gross_profit[t]</t>
        </is>
      </c>
      <c r="D15" s="6" t="inlineStr">
        <is>
          <t>pl.rev.net[t]</t>
        </is>
      </c>
      <c r="E15" s="6" t="inlineStr">
        <is>
          <t>pct</t>
        </is>
      </c>
      <c r="F15" s="6" t="inlineStr">
        <is>
          <t>raw</t>
        </is>
      </c>
      <c r="G15" s="6" t="inlineStr">
        <is>
          <t>avg_3y</t>
        </is>
      </c>
      <c r="H15" s="9" t="inlineStr"/>
    </row>
    <row r="16">
      <c r="A16" s="10" t="inlineStr">
        <is>
          <t>kpi.margin.cogs_pct_revenue</t>
        </is>
      </c>
      <c r="B16" s="8" t="inlineStr">
        <is>
          <t>margin</t>
        </is>
      </c>
      <c r="C16" s="8" t="inlineStr">
        <is>
          <t>pl.cogs.total[t]</t>
        </is>
      </c>
      <c r="D16" s="8" t="inlineStr">
        <is>
          <t>pl.rev.net[t]</t>
        </is>
      </c>
      <c r="E16" s="8" t="inlineStr">
        <is>
          <t>pct</t>
        </is>
      </c>
      <c r="F16" s="8" t="inlineStr">
        <is>
          <t>abs_num</t>
        </is>
      </c>
      <c r="G16" s="8" t="inlineStr">
        <is>
          <t>avg_3y</t>
        </is>
      </c>
      <c r="H16" s="10" t="inlineStr"/>
    </row>
    <row r="17">
      <c r="A17" s="9" t="inlineStr">
        <is>
          <t>kpi.margin.opex_pct_revenue</t>
        </is>
      </c>
      <c r="B17" s="6" t="inlineStr">
        <is>
          <t>margin</t>
        </is>
      </c>
      <c r="C17" s="6" t="inlineStr">
        <is>
          <t>pl.opex.total[t]</t>
        </is>
      </c>
      <c r="D17" s="6" t="inlineStr">
        <is>
          <t>pl.rev.net[t]</t>
        </is>
      </c>
      <c r="E17" s="6" t="inlineStr">
        <is>
          <t>pct</t>
        </is>
      </c>
      <c r="F17" s="6" t="inlineStr">
        <is>
          <t>abs_num</t>
        </is>
      </c>
      <c r="G17" s="6" t="inlineStr">
        <is>
          <t>avg_3y</t>
        </is>
      </c>
      <c r="H17" s="9" t="inlineStr"/>
    </row>
    <row r="18">
      <c r="A18" s="10" t="inlineStr">
        <is>
          <t>kpi.margin.ebitda</t>
        </is>
      </c>
      <c r="B18" s="8" t="inlineStr">
        <is>
          <t>margin</t>
        </is>
      </c>
      <c r="C18" s="8" t="inlineStr">
        <is>
          <t>pl.ebitda[t]</t>
        </is>
      </c>
      <c r="D18" s="8" t="inlineStr">
        <is>
          <t>pl.rev.net[t]</t>
        </is>
      </c>
      <c r="E18" s="8" t="inlineStr">
        <is>
          <t>pct</t>
        </is>
      </c>
      <c r="F18" s="8" t="inlineStr">
        <is>
          <t>raw</t>
        </is>
      </c>
      <c r="G18" s="8" t="inlineStr">
        <is>
          <t>avg_3y</t>
        </is>
      </c>
      <c r="H18" s="10" t="inlineStr"/>
    </row>
    <row r="19">
      <c r="A19" s="9" t="inlineStr">
        <is>
          <t>kpi.margin.ebit</t>
        </is>
      </c>
      <c r="B19" s="6" t="inlineStr">
        <is>
          <t>margin</t>
        </is>
      </c>
      <c r="C19" s="6" t="inlineStr">
        <is>
          <t>pl.ebit[t]</t>
        </is>
      </c>
      <c r="D19" s="6" t="inlineStr">
        <is>
          <t>pl.rev.net[t]</t>
        </is>
      </c>
      <c r="E19" s="6" t="inlineStr">
        <is>
          <t>pct</t>
        </is>
      </c>
      <c r="F19" s="6" t="inlineStr">
        <is>
          <t>raw</t>
        </is>
      </c>
      <c r="G19" s="6" t="inlineStr">
        <is>
          <t>avg_3y</t>
        </is>
      </c>
      <c r="H19" s="9" t="inlineStr"/>
    </row>
    <row r="20">
      <c r="A20" s="10" t="inlineStr">
        <is>
          <t>kpi.margin.net_income</t>
        </is>
      </c>
      <c r="B20" s="8" t="inlineStr">
        <is>
          <t>margin</t>
        </is>
      </c>
      <c r="C20" s="8" t="inlineStr">
        <is>
          <t>pl.net_income[t]</t>
        </is>
      </c>
      <c r="D20" s="8" t="inlineStr">
        <is>
          <t>pl.rev.net[t]</t>
        </is>
      </c>
      <c r="E20" s="8" t="inlineStr">
        <is>
          <t>pct</t>
        </is>
      </c>
      <c r="F20" s="8" t="inlineStr">
        <is>
          <t>raw</t>
        </is>
      </c>
      <c r="G20" s="8" t="inlineStr">
        <is>
          <t>avg_3y</t>
        </is>
      </c>
      <c r="H20" s="10" t="inlineStr"/>
    </row>
    <row r="21">
      <c r="A21" s="9" t="inlineStr">
        <is>
          <t>kpi.margin.da_pct_revenue</t>
        </is>
      </c>
      <c r="B21" s="6" t="inlineStr">
        <is>
          <t>margin</t>
        </is>
      </c>
      <c r="C21" s="6" t="inlineStr">
        <is>
          <t>pl.da.total[t]</t>
        </is>
      </c>
      <c r="D21" s="6" t="inlineStr">
        <is>
          <t>pl.rev.net[t]</t>
        </is>
      </c>
      <c r="E21" s="6" t="inlineStr">
        <is>
          <t>pct</t>
        </is>
      </c>
      <c r="F21" s="6" t="inlineStr">
        <is>
          <t>abs_num</t>
        </is>
      </c>
      <c r="G21" s="6" t="inlineStr">
        <is>
          <t>avg_3y</t>
        </is>
      </c>
      <c r="H21" s="9" t="inlineStr"/>
    </row>
    <row r="22">
      <c r="A22" s="10" t="inlineStr">
        <is>
          <t>kpi.mix.discounts_pct_gross</t>
        </is>
      </c>
      <c r="B22" s="8" t="inlineStr">
        <is>
          <t>margin</t>
        </is>
      </c>
      <c r="C22" s="8" t="inlineStr">
        <is>
          <t>pl.rev.deductions.discounts[t]</t>
        </is>
      </c>
      <c r="D22" s="8" t="inlineStr">
        <is>
          <t>pl.rev.gross_total[t]</t>
        </is>
      </c>
      <c r="E22" s="8" t="inlineStr">
        <is>
          <t>pct</t>
        </is>
      </c>
      <c r="F22" s="8" t="inlineStr">
        <is>
          <t>abs_num</t>
        </is>
      </c>
      <c r="G22" s="8" t="inlineStr">
        <is>
          <t>avg_3y</t>
        </is>
      </c>
      <c r="H22" s="10" t="inlineStr">
        <is>
          <t>pct_gross_revenue (M_RAT_004)</t>
        </is>
      </c>
    </row>
    <row r="23">
      <c r="A23" s="9" t="inlineStr">
        <is>
          <t>kpi.mix.rebates_pct_gross</t>
        </is>
      </c>
      <c r="B23" s="6" t="inlineStr">
        <is>
          <t>margin</t>
        </is>
      </c>
      <c r="C23" s="6" t="inlineStr">
        <is>
          <t>pl.rev.deductions.rebates[t]</t>
        </is>
      </c>
      <c r="D23" s="6" t="inlineStr">
        <is>
          <t>pl.rev.gross_total[t]</t>
        </is>
      </c>
      <c r="E23" s="6" t="inlineStr">
        <is>
          <t>pct</t>
        </is>
      </c>
      <c r="F23" s="6" t="inlineStr">
        <is>
          <t>abs_num</t>
        </is>
      </c>
      <c r="G23" s="6" t="inlineStr">
        <is>
          <t>avg_3y</t>
        </is>
      </c>
      <c r="H23" s="9" t="inlineStr">
        <is>
          <t>pct_gross_revenue</t>
        </is>
      </c>
    </row>
    <row r="24">
      <c r="A24" s="10" t="inlineStr">
        <is>
          <t>kpi.mix.returns_pct_gross</t>
        </is>
      </c>
      <c r="B24" s="8" t="inlineStr">
        <is>
          <t>margin</t>
        </is>
      </c>
      <c r="C24" s="8" t="inlineStr">
        <is>
          <t>pl.rev.deductions.returns[t]</t>
        </is>
      </c>
      <c r="D24" s="8" t="inlineStr">
        <is>
          <t>pl.rev.gross_total[t]</t>
        </is>
      </c>
      <c r="E24" s="8" t="inlineStr">
        <is>
          <t>pct</t>
        </is>
      </c>
      <c r="F24" s="8" t="inlineStr">
        <is>
          <t>abs_num</t>
        </is>
      </c>
      <c r="G24" s="8" t="inlineStr">
        <is>
          <t>avg_3y</t>
        </is>
      </c>
      <c r="H24" s="10" t="inlineStr">
        <is>
          <t>pct_gross_revenue</t>
        </is>
      </c>
    </row>
    <row r="25">
      <c r="A25" s="9" t="inlineStr">
        <is>
          <t>kpi.mix.trade_promo_pct_gross</t>
        </is>
      </c>
      <c r="B25" s="6" t="inlineStr">
        <is>
          <t>margin</t>
        </is>
      </c>
      <c r="C25" s="6" t="inlineStr">
        <is>
          <t>pl.rev.deductions.trade_promo[t]</t>
        </is>
      </c>
      <c r="D25" s="6" t="inlineStr">
        <is>
          <t>pl.rev.gross_total[t]</t>
        </is>
      </c>
      <c r="E25" s="6" t="inlineStr">
        <is>
          <t>pct</t>
        </is>
      </c>
      <c r="F25" s="6" t="inlineStr">
        <is>
          <t>abs_num</t>
        </is>
      </c>
      <c r="G25" s="6" t="inlineStr">
        <is>
          <t>avg_3y</t>
        </is>
      </c>
      <c r="H25" s="9" t="inlineStr">
        <is>
          <t>pct_gross_revenue</t>
        </is>
      </c>
    </row>
    <row r="26">
      <c r="A26" s="10" t="inlineStr">
        <is>
          <t>kpi.mix.deductions_pct_gross</t>
        </is>
      </c>
      <c r="B26" s="8" t="inlineStr">
        <is>
          <t>margin</t>
        </is>
      </c>
      <c r="C26" s="8" t="inlineStr">
        <is>
          <t>pl.rev.deductions_total[t]</t>
        </is>
      </c>
      <c r="D26" s="8" t="inlineStr">
        <is>
          <t>pl.rev.gross_total[t]</t>
        </is>
      </c>
      <c r="E26" s="8" t="inlineStr">
        <is>
          <t>pct</t>
        </is>
      </c>
      <c r="F26" s="8" t="inlineStr">
        <is>
          <t>abs_num</t>
        </is>
      </c>
      <c r="G26" s="8" t="inlineStr">
        <is>
          <t>avg_3y</t>
        </is>
      </c>
      <c r="H26" s="10" t="inlineStr"/>
    </row>
    <row r="27">
      <c r="A27" s="9" t="inlineStr">
        <is>
          <t>kpi.mix.net_to_gross</t>
        </is>
      </c>
      <c r="B27" s="6" t="inlineStr">
        <is>
          <t>margin</t>
        </is>
      </c>
      <c r="C27" s="6" t="inlineStr">
        <is>
          <t>pl.rev.net[t]</t>
        </is>
      </c>
      <c r="D27" s="6" t="inlineStr">
        <is>
          <t>pl.rev.gross_total[t]</t>
        </is>
      </c>
      <c r="E27" s="6" t="inlineStr">
        <is>
          <t>pct</t>
        </is>
      </c>
      <c r="F27" s="6" t="inlineStr">
        <is>
          <t>raw</t>
        </is>
      </c>
      <c r="G27" s="6" t="inlineStr">
        <is>
          <t>avg_3y</t>
        </is>
      </c>
      <c r="H27" s="9" t="inlineStr"/>
    </row>
    <row r="28">
      <c r="A28" s="10" t="inlineStr">
        <is>
          <t>kpi.margin.&lt;cogs_voice&gt;_pct_revenue (template)</t>
        </is>
      </c>
      <c r="B28" s="8" t="inlineStr">
        <is>
          <t>margin</t>
        </is>
      </c>
      <c r="C28" s="8" t="inlineStr">
        <is>
          <t>&lt;cogs_voice&gt;[t]</t>
        </is>
      </c>
      <c r="D28" s="8" t="inlineStr">
        <is>
          <t>pl.rev.net[t]</t>
        </is>
      </c>
      <c r="E28" s="8" t="inlineStr">
        <is>
          <t>pct</t>
        </is>
      </c>
      <c r="F28" s="8" t="inlineStr">
        <is>
          <t>abs_num</t>
        </is>
      </c>
      <c r="G28" s="8" t="inlineStr">
        <is>
          <t>avg_3y</t>
        </is>
      </c>
      <c r="H28" s="10" t="inlineStr">
        <is>
          <t>pct_net_revenue (M_RAT_001)</t>
        </is>
      </c>
    </row>
    <row r="29">
      <c r="A29" s="9" t="inlineStr">
        <is>
          <t>kpi.margin.&lt;opex_voice&gt;_pct_revenue (template)</t>
        </is>
      </c>
      <c r="B29" s="6" t="inlineStr">
        <is>
          <t>margin</t>
        </is>
      </c>
      <c r="C29" s="6" t="inlineStr">
        <is>
          <t>&lt;opex_voice&gt;[t]</t>
        </is>
      </c>
      <c r="D29" s="6" t="inlineStr">
        <is>
          <t>pl.rev.net[t]</t>
        </is>
      </c>
      <c r="E29" s="6" t="inlineStr">
        <is>
          <t>pct</t>
        </is>
      </c>
      <c r="F29" s="6" t="inlineStr">
        <is>
          <t>abs_num</t>
        </is>
      </c>
      <c r="G29" s="6" t="inlineStr">
        <is>
          <t>avg_3y</t>
        </is>
      </c>
      <c r="H29" s="9" t="inlineStr">
        <is>
          <t>pct_net_revenue</t>
        </is>
      </c>
    </row>
    <row r="30">
      <c r="A30" s="10" t="inlineStr">
        <is>
          <t>kpi.margin.ebitda_adjusted</t>
        </is>
      </c>
      <c r="B30" s="8" t="inlineStr">
        <is>
          <t>margin</t>
        </is>
      </c>
      <c r="C30" s="8" t="inlineStr">
        <is>
          <t>pl.ebitda_adjusted[t]</t>
        </is>
      </c>
      <c r="D30" s="8" t="inlineStr">
        <is>
          <t>pl.rev.net[t]</t>
        </is>
      </c>
      <c r="E30" s="8" t="inlineStr">
        <is>
          <t>pct</t>
        </is>
      </c>
      <c r="F30" s="8" t="inlineStr">
        <is>
          <t>raw</t>
        </is>
      </c>
      <c r="G30" s="8" t="inlineStr">
        <is>
          <t>avg_3y</t>
        </is>
      </c>
      <c r="H30" s="10" t="inlineStr">
        <is>
          <t>Esclude voci non-recurring</t>
        </is>
      </c>
    </row>
    <row r="31">
      <c r="A31" s="9" t="inlineStr">
        <is>
          <t>kpi.margin.ebit_adjusted</t>
        </is>
      </c>
      <c r="B31" s="6" t="inlineStr">
        <is>
          <t>margin</t>
        </is>
      </c>
      <c r="C31" s="6" t="inlineStr">
        <is>
          <t>pl.ebit_adjusted[t]</t>
        </is>
      </c>
      <c r="D31" s="6" t="inlineStr">
        <is>
          <t>pl.rev.net[t]</t>
        </is>
      </c>
      <c r="E31" s="6" t="inlineStr">
        <is>
          <t>pct</t>
        </is>
      </c>
      <c r="F31" s="6" t="inlineStr">
        <is>
          <t>raw</t>
        </is>
      </c>
      <c r="G31" s="6" t="inlineStr">
        <is>
          <t>avg_3y</t>
        </is>
      </c>
      <c r="H31" s="9" t="inlineStr">
        <is>
          <t>Esclude voci non-recurring + impairment</t>
        </is>
      </c>
    </row>
    <row r="32">
      <c r="A32" s="10" t="inlineStr">
        <is>
          <t>kpi.nwc.dso</t>
        </is>
      </c>
      <c r="B32" s="8" t="inlineStr">
        <is>
          <t>nwc_days</t>
        </is>
      </c>
      <c r="C32" s="8" t="inlineStr">
        <is>
          <t>bs.nwc.ar.trade_gross[t]</t>
        </is>
      </c>
      <c r="D32" s="8" t="inlineStr">
        <is>
          <t>pl.rev.net[t] / 365</t>
        </is>
      </c>
      <c r="E32" s="8" t="inlineStr">
        <is>
          <t>days</t>
        </is>
      </c>
      <c r="F32" s="8" t="inlineStr">
        <is>
          <t>raw</t>
        </is>
      </c>
      <c r="G32" s="8" t="inlineStr">
        <is>
          <t>avg_3y</t>
        </is>
      </c>
      <c r="H32" s="10" t="inlineStr">
        <is>
          <t>days_target (M_RAT_006)</t>
        </is>
      </c>
    </row>
    <row r="33">
      <c r="A33" s="9" t="inlineStr">
        <is>
          <t>kpi.nwc.contract_assets_days</t>
        </is>
      </c>
      <c r="B33" s="6" t="inlineStr">
        <is>
          <t>nwc_days</t>
        </is>
      </c>
      <c r="C33" s="6" t="inlineStr">
        <is>
          <t>bs.nwc.contract_assets[t]</t>
        </is>
      </c>
      <c r="D33" s="6" t="inlineStr">
        <is>
          <t>pl.rev.net[t] / 365</t>
        </is>
      </c>
      <c r="E33" s="6" t="inlineStr">
        <is>
          <t>days</t>
        </is>
      </c>
      <c r="F33" s="6" t="inlineStr">
        <is>
          <t>raw</t>
        </is>
      </c>
      <c r="G33" s="6" t="inlineStr">
        <is>
          <t>avg_3y</t>
        </is>
      </c>
      <c r="H33" s="9" t="inlineStr">
        <is>
          <t>days_target</t>
        </is>
      </c>
    </row>
    <row r="34">
      <c r="A34" s="10" t="inlineStr">
        <is>
          <t>kpi.nwc.dio_raw</t>
        </is>
      </c>
      <c r="B34" s="8" t="inlineStr">
        <is>
          <t>nwc_days</t>
        </is>
      </c>
      <c r="C34" s="8" t="inlineStr">
        <is>
          <t>bs.nwc.inventory.raw[t]</t>
        </is>
      </c>
      <c r="D34" s="8" t="inlineStr">
        <is>
          <t>pl.cogs.materials.raw[t] / 365</t>
        </is>
      </c>
      <c r="E34" s="8" t="inlineStr">
        <is>
          <t>days</t>
        </is>
      </c>
      <c r="F34" s="8" t="inlineStr">
        <is>
          <t>abs_den</t>
        </is>
      </c>
      <c r="G34" s="8" t="inlineStr">
        <is>
          <t>avg_3y</t>
        </is>
      </c>
      <c r="H34" s="10" t="inlineStr">
        <is>
          <t>days_target</t>
        </is>
      </c>
    </row>
    <row r="35">
      <c r="A35" s="9" t="inlineStr">
        <is>
          <t>kpi.nwc.dio_wip</t>
        </is>
      </c>
      <c r="B35" s="6" t="inlineStr">
        <is>
          <t>nwc_days</t>
        </is>
      </c>
      <c r="C35" s="6" t="inlineStr">
        <is>
          <t>bs.nwc.inventory.wip[t]</t>
        </is>
      </c>
      <c r="D35" s="6" t="inlineStr">
        <is>
          <t>pl.cogs.total[t] / 365</t>
        </is>
      </c>
      <c r="E35" s="6" t="inlineStr">
        <is>
          <t>days</t>
        </is>
      </c>
      <c r="F35" s="6" t="inlineStr">
        <is>
          <t>abs_den</t>
        </is>
      </c>
      <c r="G35" s="6" t="inlineStr">
        <is>
          <t>avg_3y</t>
        </is>
      </c>
      <c r="H35" s="9" t="inlineStr">
        <is>
          <t>days_target</t>
        </is>
      </c>
    </row>
    <row r="36">
      <c r="A36" s="10" t="inlineStr">
        <is>
          <t>kpi.nwc.dio_finished</t>
        </is>
      </c>
      <c r="B36" s="8" t="inlineStr">
        <is>
          <t>nwc_days</t>
        </is>
      </c>
      <c r="C36" s="8" t="inlineStr">
        <is>
          <t>bs.nwc.inventory.finished[t]</t>
        </is>
      </c>
      <c r="D36" s="8" t="inlineStr">
        <is>
          <t>pl.cogs.total[t] / 365</t>
        </is>
      </c>
      <c r="E36" s="8" t="inlineStr">
        <is>
          <t>days</t>
        </is>
      </c>
      <c r="F36" s="8" t="inlineStr">
        <is>
          <t>abs_den</t>
        </is>
      </c>
      <c r="G36" s="8" t="inlineStr">
        <is>
          <t>avg_3y</t>
        </is>
      </c>
      <c r="H36" s="10" t="inlineStr">
        <is>
          <t>days_target</t>
        </is>
      </c>
    </row>
    <row r="37">
      <c r="A37" s="9" t="inlineStr">
        <is>
          <t>kpi.nwc.dio_total</t>
        </is>
      </c>
      <c r="B37" s="6" t="inlineStr">
        <is>
          <t>nwc_days</t>
        </is>
      </c>
      <c r="C37" s="6" t="inlineStr">
        <is>
          <t>bs.nwc.inventory.total[t]</t>
        </is>
      </c>
      <c r="D37" s="6" t="inlineStr">
        <is>
          <t>pl.cogs.total[t] / 365</t>
        </is>
      </c>
      <c r="E37" s="6" t="inlineStr">
        <is>
          <t>days</t>
        </is>
      </c>
      <c r="F37" s="6" t="inlineStr">
        <is>
          <t>abs_den</t>
        </is>
      </c>
      <c r="G37" s="6" t="inlineStr">
        <is>
          <t>avg_3y</t>
        </is>
      </c>
      <c r="H37" s="9" t="inlineStr"/>
    </row>
    <row r="38">
      <c r="A38" s="10" t="inlineStr">
        <is>
          <t>kpi.nwc.dpo</t>
        </is>
      </c>
      <c r="B38" s="8" t="inlineStr">
        <is>
          <t>nwc_days</t>
        </is>
      </c>
      <c r="C38" s="8" t="inlineStr">
        <is>
          <t>bs.nwc.ap.trade[t]</t>
        </is>
      </c>
      <c r="D38" s="8" t="inlineStr">
        <is>
          <t>bs.nwc.ap.purchases_base[t] / 365</t>
        </is>
      </c>
      <c r="E38" s="8" t="inlineStr">
        <is>
          <t>days</t>
        </is>
      </c>
      <c r="F38" s="8" t="inlineStr">
        <is>
          <t>abs_num</t>
        </is>
      </c>
      <c r="G38" s="8" t="inlineStr">
        <is>
          <t>avg_3y</t>
        </is>
      </c>
      <c r="H38" s="10" t="inlineStr">
        <is>
          <t>days_target</t>
        </is>
      </c>
    </row>
    <row r="39">
      <c r="A39" s="9" t="inlineStr">
        <is>
          <t>kpi.nwc.accrued_days_opex</t>
        </is>
      </c>
      <c r="B39" s="6" t="inlineStr">
        <is>
          <t>nwc_days</t>
        </is>
      </c>
      <c r="C39" s="6" t="inlineStr">
        <is>
          <t>bs.nwc.accrued_expenses[t]</t>
        </is>
      </c>
      <c r="D39" s="6" t="inlineStr">
        <is>
          <t>pl.opex.total[t] / 365</t>
        </is>
      </c>
      <c r="E39" s="6" t="inlineStr">
        <is>
          <t>days</t>
        </is>
      </c>
      <c r="F39" s="6" t="inlineStr">
        <is>
          <t>abs_both</t>
        </is>
      </c>
      <c r="G39" s="6" t="inlineStr">
        <is>
          <t>avg_3y</t>
        </is>
      </c>
      <c r="H39" s="9" t="inlineStr">
        <is>
          <t>pct_related_flow (M_RAT_008)</t>
        </is>
      </c>
    </row>
    <row r="40">
      <c r="A40" s="10" t="inlineStr">
        <is>
          <t>kpi.nwc.contract_liab_days</t>
        </is>
      </c>
      <c r="B40" s="8" t="inlineStr">
        <is>
          <t>nwc_days</t>
        </is>
      </c>
      <c r="C40" s="8" t="inlineStr">
        <is>
          <t>bs.nwc.contract_liabilities[t]</t>
        </is>
      </c>
      <c r="D40" s="8" t="inlineStr">
        <is>
          <t>pl.rev.net[t] / 365</t>
        </is>
      </c>
      <c r="E40" s="8" t="inlineStr">
        <is>
          <t>days</t>
        </is>
      </c>
      <c r="F40" s="8" t="inlineStr">
        <is>
          <t>abs_num</t>
        </is>
      </c>
      <c r="G40" s="8" t="inlineStr">
        <is>
          <t>avg_3y</t>
        </is>
      </c>
      <c r="H40" s="10" t="inlineStr">
        <is>
          <t>days_target</t>
        </is>
      </c>
    </row>
    <row r="41">
      <c r="A41" s="9" t="inlineStr">
        <is>
          <t>kpi.nwc.ecl_rate</t>
        </is>
      </c>
      <c r="B41" s="6" t="inlineStr">
        <is>
          <t>nwc_days</t>
        </is>
      </c>
      <c r="C41" s="6" t="inlineStr">
        <is>
          <t>bs.nwc.ar.allowance[t]</t>
        </is>
      </c>
      <c r="D41" s="6" t="inlineStr">
        <is>
          <t>bs.nwc.ar.trade_gross[t]</t>
        </is>
      </c>
      <c r="E41" s="6" t="inlineStr">
        <is>
          <t>pct</t>
        </is>
      </c>
      <c r="F41" s="6" t="inlineStr">
        <is>
          <t>abs_num</t>
        </is>
      </c>
      <c r="G41" s="6" t="inlineStr">
        <is>
          <t>avg_3y</t>
        </is>
      </c>
      <c r="H41" s="9" t="inlineStr">
        <is>
          <t>allowance_pct_ar_gross (M_RAT_009)</t>
        </is>
      </c>
    </row>
    <row r="42">
      <c r="A42" s="10" t="inlineStr">
        <is>
          <t>kpi.nwc.ccc</t>
        </is>
      </c>
      <c r="B42" s="8" t="inlineStr">
        <is>
          <t>nwc_days</t>
        </is>
      </c>
      <c r="C42" s="8" t="inlineStr">
        <is>
          <t>DSO + DIO_total - DPO</t>
        </is>
      </c>
      <c r="D42" s="8" t="inlineStr">
        <is>
          <t>—</t>
        </is>
      </c>
      <c r="E42" s="8" t="inlineStr">
        <is>
          <t>days</t>
        </is>
      </c>
      <c r="F42" s="8" t="inlineStr">
        <is>
          <t>derived</t>
        </is>
      </c>
      <c r="G42" s="8" t="inlineStr">
        <is>
          <t>avg_3y</t>
        </is>
      </c>
      <c r="H42" s="10" t="inlineStr">
        <is>
          <t>Cash conversion cycle</t>
        </is>
      </c>
    </row>
    <row r="43">
      <c r="A43" s="9" t="inlineStr">
        <is>
          <t>kpi.nwc.operating_pct_revenue</t>
        </is>
      </c>
      <c r="B43" s="6" t="inlineStr">
        <is>
          <t>nwc_days</t>
        </is>
      </c>
      <c r="C43" s="6" t="inlineStr">
        <is>
          <t>bs.nwc.operating[t]</t>
        </is>
      </c>
      <c r="D43" s="6" t="inlineStr">
        <is>
          <t>pl.rev.net[t]</t>
        </is>
      </c>
      <c r="E43" s="6" t="inlineStr">
        <is>
          <t>pct</t>
        </is>
      </c>
      <c r="F43" s="6" t="inlineStr">
        <is>
          <t>signed</t>
        </is>
      </c>
      <c r="G43" s="6" t="inlineStr">
        <is>
          <t>avg_3y</t>
        </is>
      </c>
      <c r="H43" s="9" t="inlineStr"/>
    </row>
    <row r="44">
      <c r="A44" s="10" t="inlineStr">
        <is>
          <t>kpi.nwc.vat_avg_unpaid_periods_pay</t>
        </is>
      </c>
      <c r="B44" s="8" t="inlineStr">
        <is>
          <t>nwc_days</t>
        </is>
      </c>
      <c r="C44" s="8" t="inlineStr">
        <is>
          <t>bs.nwc.other_current_liab.vat_payable[t]</t>
        </is>
      </c>
      <c r="D44" s="8" t="inlineStr">
        <is>
          <t>pl.rev.gross_total[t] / 12</t>
        </is>
      </c>
      <c r="E44" s="8" t="inlineStr">
        <is>
          <t>months</t>
        </is>
      </c>
      <c r="F44" s="8" t="inlineStr">
        <is>
          <t>abs_num</t>
        </is>
      </c>
      <c r="G44" s="8" t="inlineStr">
        <is>
          <t>avg_3y</t>
        </is>
      </c>
      <c r="H44" s="10" t="inlineStr">
        <is>
          <t>vat_balance_ratio (M_RAT_021)</t>
        </is>
      </c>
    </row>
    <row r="45">
      <c r="A45" s="9" t="inlineStr">
        <is>
          <t>kpi.nwc.cit_advance_pct</t>
        </is>
      </c>
      <c r="B45" s="6" t="inlineStr">
        <is>
          <t>nwc_days</t>
        </is>
      </c>
      <c r="C45" s="6" t="inlineStr">
        <is>
          <t>acconti versati</t>
        </is>
      </c>
      <c r="D45" s="6" t="inlineStr">
        <is>
          <t>pl.tax.current[t-1]</t>
        </is>
      </c>
      <c r="E45" s="6" t="inlineStr">
        <is>
          <t>pct</t>
        </is>
      </c>
      <c r="F45" s="6" t="inlineStr">
        <is>
          <t>abs_num</t>
        </is>
      </c>
      <c r="G45" s="6" t="inlineStr">
        <is>
          <t>avg_3y</t>
        </is>
      </c>
      <c r="H45" s="9" t="inlineStr"/>
    </row>
    <row r="46">
      <c r="A46" s="10" t="inlineStr">
        <is>
          <t>kpi.fa.capex_intensity_total</t>
        </is>
      </c>
      <c r="B46" s="8" t="inlineStr">
        <is>
          <t>capex</t>
        </is>
      </c>
      <c r="C46" s="8" t="inlineStr">
        <is>
          <t>total_capex[t]</t>
        </is>
      </c>
      <c r="D46" s="8" t="inlineStr">
        <is>
          <t>pl.rev.net[t]</t>
        </is>
      </c>
      <c r="E46" s="8" t="inlineStr">
        <is>
          <t>pct</t>
        </is>
      </c>
      <c r="F46" s="8" t="inlineStr">
        <is>
          <t>raw</t>
        </is>
      </c>
      <c r="G46" s="8" t="inlineStr">
        <is>
          <t>avg_3y</t>
        </is>
      </c>
      <c r="H46" s="10" t="inlineStr">
        <is>
          <t>capex_pct_revenue (M_RAT_011)</t>
        </is>
      </c>
    </row>
    <row r="47">
      <c r="A47" s="9" t="inlineStr">
        <is>
          <t>kpi.fa.capex_intensity_maintenance</t>
        </is>
      </c>
      <c r="B47" s="6" t="inlineStr">
        <is>
          <t>capex</t>
        </is>
      </c>
      <c r="C47" s="6" t="inlineStr">
        <is>
          <t>bs.fa.tangible.maintenance_capex[t]</t>
        </is>
      </c>
      <c r="D47" s="6" t="inlineStr">
        <is>
          <t>pl.rev.net[t]</t>
        </is>
      </c>
      <c r="E47" s="6" t="inlineStr">
        <is>
          <t>pct</t>
        </is>
      </c>
      <c r="F47" s="6" t="inlineStr">
        <is>
          <t>raw</t>
        </is>
      </c>
      <c r="G47" s="6" t="inlineStr">
        <is>
          <t>avg_3y</t>
        </is>
      </c>
      <c r="H47" s="9" t="inlineStr">
        <is>
          <t>capex_pct_revenue</t>
        </is>
      </c>
    </row>
    <row r="48">
      <c r="A48" s="10" t="inlineStr">
        <is>
          <t>kpi.fa.capex_to_da_ratio</t>
        </is>
      </c>
      <c r="B48" s="8" t="inlineStr">
        <is>
          <t>capex</t>
        </is>
      </c>
      <c r="C48" s="8" t="inlineStr">
        <is>
          <t>total_capex[t]</t>
        </is>
      </c>
      <c r="D48" s="8" t="inlineStr">
        <is>
          <t>abs(pl.da.total[t])</t>
        </is>
      </c>
      <c r="E48" s="8" t="inlineStr">
        <is>
          <t>ratio</t>
        </is>
      </c>
      <c r="F48" s="8" t="inlineStr">
        <is>
          <t>abs_den</t>
        </is>
      </c>
      <c r="G48" s="8" t="inlineStr">
        <is>
          <t>avg_3y</t>
        </is>
      </c>
      <c r="H48" s="10" t="inlineStr"/>
    </row>
    <row r="49">
      <c r="A49" s="9" t="inlineStr">
        <is>
          <t>kpi.fa.useful_life_implied_ppe</t>
        </is>
      </c>
      <c r="B49" s="6" t="inlineStr">
        <is>
          <t>capex</t>
        </is>
      </c>
      <c r="C49" s="6" t="inlineStr">
        <is>
          <t>(gross_open + gross_close)/2 PPE</t>
        </is>
      </c>
      <c r="D49" s="6" t="inlineStr">
        <is>
          <t>abs(pl.da.ppe[t])</t>
        </is>
      </c>
      <c r="E49" s="6" t="inlineStr">
        <is>
          <t>years</t>
        </is>
      </c>
      <c r="F49" s="6" t="inlineStr">
        <is>
          <t>abs_den</t>
        </is>
      </c>
      <c r="G49" s="6" t="inlineStr">
        <is>
          <t>y0_value</t>
        </is>
      </c>
      <c r="H49" s="9" t="inlineStr">
        <is>
          <t>da_mid_year_convention (R_DRV_001)</t>
        </is>
      </c>
    </row>
    <row r="50">
      <c r="A50" s="10" t="inlineStr">
        <is>
          <t>kpi.fa.useful_life_implied_intangibles</t>
        </is>
      </c>
      <c r="B50" s="8" t="inlineStr">
        <is>
          <t>capex</t>
        </is>
      </c>
      <c r="C50" s="8" t="inlineStr">
        <is>
          <t>(gross_open + gross_close)/2 intangibles</t>
        </is>
      </c>
      <c r="D50" s="8" t="inlineStr">
        <is>
          <t>abs(pl.da.intangibles[t])</t>
        </is>
      </c>
      <c r="E50" s="8" t="inlineStr">
        <is>
          <t>years</t>
        </is>
      </c>
      <c r="F50" s="8" t="inlineStr">
        <is>
          <t>abs_den</t>
        </is>
      </c>
      <c r="G50" s="8" t="inlineStr">
        <is>
          <t>y0_value</t>
        </is>
      </c>
      <c r="H50" s="10" t="inlineStr">
        <is>
          <t>da_mid_year_convention</t>
        </is>
      </c>
    </row>
    <row r="51">
      <c r="A51" s="9" t="inlineStr">
        <is>
          <t>kpi.fa.lease_term_implied</t>
        </is>
      </c>
      <c r="B51" s="6" t="inlineStr">
        <is>
          <t>capex</t>
        </is>
      </c>
      <c r="C51" s="6" t="inlineStr">
        <is>
          <t>rou.gross_avg</t>
        </is>
      </c>
      <c r="D51" s="6" t="inlineStr">
        <is>
          <t>abs(pl.da.rou[t])</t>
        </is>
      </c>
      <c r="E51" s="6" t="inlineStr">
        <is>
          <t>years</t>
        </is>
      </c>
      <c r="F51" s="6" t="inlineStr">
        <is>
          <t>abs_den</t>
        </is>
      </c>
      <c r="G51" s="6" t="inlineStr">
        <is>
          <t>y0_value</t>
        </is>
      </c>
      <c r="H51" s="9" t="inlineStr">
        <is>
          <t>da_mid_year_convention</t>
        </is>
      </c>
    </row>
    <row r="52">
      <c r="A52" s="10" t="inlineStr">
        <is>
          <t>kpi.fa.disposals_rate_ppe</t>
        </is>
      </c>
      <c r="B52" s="8" t="inlineStr">
        <is>
          <t>capex</t>
        </is>
      </c>
      <c r="C52" s="8" t="inlineStr">
        <is>
          <t>bs.fa.tangible.disposals_gross[t]</t>
        </is>
      </c>
      <c r="D52" s="8" t="inlineStr">
        <is>
          <t>bs.fa.tangible.gross_open[t]</t>
        </is>
      </c>
      <c r="E52" s="8" t="inlineStr">
        <is>
          <t>pct</t>
        </is>
      </c>
      <c r="F52" s="8" t="inlineStr">
        <is>
          <t>abs_num</t>
        </is>
      </c>
      <c r="G52" s="8" t="inlineStr">
        <is>
          <t>avg_3y</t>
        </is>
      </c>
      <c r="H52" s="10" t="inlineStr">
        <is>
          <t>disposals_pct_gross_base (M_RAT_013)</t>
        </is>
      </c>
    </row>
    <row r="53">
      <c r="A53" s="9" t="inlineStr">
        <is>
          <t>kpi.fa.new_leases_pct_base</t>
        </is>
      </c>
      <c r="B53" s="6" t="inlineStr">
        <is>
          <t>capex</t>
        </is>
      </c>
      <c r="C53" s="6" t="inlineStr">
        <is>
          <t>bs.fa.rou.new_contracts[t]</t>
        </is>
      </c>
      <c r="D53" s="6" t="inlineStr">
        <is>
          <t>bs.fa.rou.gross_open[t]</t>
        </is>
      </c>
      <c r="E53" s="6" t="inlineStr">
        <is>
          <t>pct</t>
        </is>
      </c>
      <c r="F53" s="6" t="inlineStr">
        <is>
          <t>raw</t>
        </is>
      </c>
      <c r="G53" s="6" t="inlineStr">
        <is>
          <t>avg_3y</t>
        </is>
      </c>
      <c r="H53" s="9" t="inlineStr">
        <is>
          <t>rou_new_leases_pct_base (M_RAT_014)</t>
        </is>
      </c>
    </row>
    <row r="54">
      <c r="A54" s="10" t="inlineStr">
        <is>
          <t>kpi.fa.rental_yield</t>
        </is>
      </c>
      <c r="B54" s="8" t="inlineStr">
        <is>
          <t>capex</t>
        </is>
      </c>
      <c r="C54" s="8" t="inlineStr">
        <is>
          <t>pl.rev.gross.rental[t]</t>
        </is>
      </c>
      <c r="D54" s="8" t="inlineStr">
        <is>
          <t>investment_property.gross_avg</t>
        </is>
      </c>
      <c r="E54" s="8" t="inlineStr">
        <is>
          <t>pct</t>
        </is>
      </c>
      <c r="F54" s="8" t="inlineStr">
        <is>
          <t>raw</t>
        </is>
      </c>
      <c r="G54" s="8" t="inlineStr">
        <is>
          <t>avg_3y</t>
        </is>
      </c>
      <c r="H54" s="10" t="inlineStr"/>
    </row>
    <row r="55">
      <c r="A55" s="9" t="inlineStr">
        <is>
          <t>kpi.nfp.nd_to_ebitda</t>
        </is>
      </c>
      <c r="B55" s="6" t="inlineStr">
        <is>
          <t>leverage</t>
        </is>
      </c>
      <c r="C55" s="6" t="inlineStr">
        <is>
          <t>abs(borrowings) - cash</t>
        </is>
      </c>
      <c r="D55" s="6" t="inlineStr">
        <is>
          <t>pl.ebitda[t]</t>
        </is>
      </c>
      <c r="E55" s="6" t="inlineStr">
        <is>
          <t>ratio</t>
        </is>
      </c>
      <c r="F55" s="6" t="inlineStr">
        <is>
          <t>derived</t>
        </is>
      </c>
      <c r="G55" s="6" t="inlineStr">
        <is>
          <t>y0_value</t>
        </is>
      </c>
      <c r="H55" s="9" t="inlineStr"/>
    </row>
    <row r="56">
      <c r="A56" s="10" t="inlineStr">
        <is>
          <t>kpi.nfp.nd_lease_to_ebitda</t>
        </is>
      </c>
      <c r="B56" s="8" t="inlineStr">
        <is>
          <t>leverage</t>
        </is>
      </c>
      <c r="C56" s="8" t="inlineStr">
        <is>
          <t>abs(borrowings) + abs(lease) - cash</t>
        </is>
      </c>
      <c r="D56" s="8" t="inlineStr">
        <is>
          <t>pl.ebitda[t]</t>
        </is>
      </c>
      <c r="E56" s="8" t="inlineStr">
        <is>
          <t>ratio</t>
        </is>
      </c>
      <c r="F56" s="8" t="inlineStr">
        <is>
          <t>derived</t>
        </is>
      </c>
      <c r="G56" s="8" t="inlineStr">
        <is>
          <t>y0_value</t>
        </is>
      </c>
      <c r="H56" s="10" t="inlineStr"/>
    </row>
    <row r="57">
      <c r="A57" s="9" t="inlineStr">
        <is>
          <t>kpi.nfp.cost_of_debt</t>
        </is>
      </c>
      <c r="B57" s="6" t="inlineStr">
        <is>
          <t>leverage</t>
        </is>
      </c>
      <c r="C57" s="6" t="inlineStr">
        <is>
          <t>pl.financial.interest_expense[t]</t>
        </is>
      </c>
      <c r="D57" s="6" t="inlineStr">
        <is>
          <t>borrowings.balance_avg</t>
        </is>
      </c>
      <c r="E57" s="6" t="inlineStr">
        <is>
          <t>pct</t>
        </is>
      </c>
      <c r="F57" s="6" t="inlineStr">
        <is>
          <t>abs_num</t>
        </is>
      </c>
      <c r="G57" s="6" t="inlineStr">
        <is>
          <t>avg_3y</t>
        </is>
      </c>
      <c r="H57" s="9" t="inlineStr">
        <is>
          <t>interest_expense_avg_balance (R_DRV_006)</t>
        </is>
      </c>
    </row>
    <row r="58">
      <c r="A58" s="10" t="inlineStr">
        <is>
          <t>kpi.nfp.lease_implicit_rate</t>
        </is>
      </c>
      <c r="B58" s="8" t="inlineStr">
        <is>
          <t>leverage</t>
        </is>
      </c>
      <c r="C58" s="8" t="inlineStr">
        <is>
          <t>pl.financial.lease_interest[t]</t>
        </is>
      </c>
      <c r="D58" s="8" t="inlineStr">
        <is>
          <t>lease_liability.balance_avg</t>
        </is>
      </c>
      <c r="E58" s="8" t="inlineStr">
        <is>
          <t>pct</t>
        </is>
      </c>
      <c r="F58" s="8" t="inlineStr">
        <is>
          <t>abs_num</t>
        </is>
      </c>
      <c r="G58" s="8" t="inlineStr">
        <is>
          <t>avg_3y</t>
        </is>
      </c>
      <c r="H58" s="10" t="inlineStr">
        <is>
          <t>lease_interest_avg_balance (R_DRV_007)</t>
        </is>
      </c>
    </row>
    <row r="59">
      <c r="A59" s="9" t="inlineStr">
        <is>
          <t>kpi.nfp.cash_yield</t>
        </is>
      </c>
      <c r="B59" s="6" t="inlineStr">
        <is>
          <t>leverage</t>
        </is>
      </c>
      <c r="C59" s="6" t="inlineStr">
        <is>
          <t>pl.financial.interest_income[t]</t>
        </is>
      </c>
      <c r="D59" s="6" t="inlineStr">
        <is>
          <t>cash.balance_avg</t>
        </is>
      </c>
      <c r="E59" s="6" t="inlineStr">
        <is>
          <t>pct</t>
        </is>
      </c>
      <c r="F59" s="6" t="inlineStr">
        <is>
          <t>raw</t>
        </is>
      </c>
      <c r="G59" s="6" t="inlineStr">
        <is>
          <t>avg_3y</t>
        </is>
      </c>
      <c r="H59" s="9" t="inlineStr">
        <is>
          <t>interest_income_cash_avg (R_DRV_008)</t>
        </is>
      </c>
    </row>
    <row r="60">
      <c r="A60" s="10" t="inlineStr">
        <is>
          <t>kpi.nfp.icr_ebit</t>
        </is>
      </c>
      <c r="B60" s="8" t="inlineStr">
        <is>
          <t>leverage</t>
        </is>
      </c>
      <c r="C60" s="8" t="inlineStr">
        <is>
          <t>pl.ebit[t]</t>
        </is>
      </c>
      <c r="D60" s="8" t="inlineStr">
        <is>
          <t>abs(interest_exp) + abs(lease_int)</t>
        </is>
      </c>
      <c r="E60" s="8" t="inlineStr">
        <is>
          <t>ratio</t>
        </is>
      </c>
      <c r="F60" s="8" t="inlineStr">
        <is>
          <t>abs_den</t>
        </is>
      </c>
      <c r="G60" s="8" t="inlineStr">
        <is>
          <t>y0_value</t>
        </is>
      </c>
      <c r="H60" s="10" t="inlineStr"/>
    </row>
    <row r="61">
      <c r="A61" s="9" t="inlineStr">
        <is>
          <t>kpi.nfp.icr_ebitda</t>
        </is>
      </c>
      <c r="B61" s="6" t="inlineStr">
        <is>
          <t>leverage</t>
        </is>
      </c>
      <c r="C61" s="6" t="inlineStr">
        <is>
          <t>pl.ebitda[t]</t>
        </is>
      </c>
      <c r="D61" s="6" t="inlineStr">
        <is>
          <t>abs(interest_exp) + abs(lease_int)</t>
        </is>
      </c>
      <c r="E61" s="6" t="inlineStr">
        <is>
          <t>ratio</t>
        </is>
      </c>
      <c r="F61" s="6" t="inlineStr">
        <is>
          <t>abs_den</t>
        </is>
      </c>
      <c r="G61" s="6" t="inlineStr">
        <is>
          <t>y0_value</t>
        </is>
      </c>
      <c r="H61" s="9" t="inlineStr"/>
    </row>
    <row r="62">
      <c r="A62" s="10" t="inlineStr">
        <is>
          <t>kpi.nfp.de_ratio</t>
        </is>
      </c>
      <c r="B62" s="8" t="inlineStr">
        <is>
          <t>leverage</t>
        </is>
      </c>
      <c r="C62" s="8" t="inlineStr">
        <is>
          <t>abs(borrowings.total_close)</t>
        </is>
      </c>
      <c r="D62" s="8" t="inlineStr">
        <is>
          <t>bs.equity.total_close[t]</t>
        </is>
      </c>
      <c r="E62" s="8" t="inlineStr">
        <is>
          <t>ratio</t>
        </is>
      </c>
      <c r="F62" s="8" t="inlineStr">
        <is>
          <t>abs_num</t>
        </is>
      </c>
      <c r="G62" s="8" t="inlineStr">
        <is>
          <t>y0_value</t>
        </is>
      </c>
      <c r="H62" s="10" t="inlineStr"/>
    </row>
    <row r="63">
      <c r="A63" s="9" t="inlineStr">
        <is>
          <t>kpi.nfp.lease_payment_pct_opening</t>
        </is>
      </c>
      <c r="B63" s="6" t="inlineStr">
        <is>
          <t>leverage</t>
        </is>
      </c>
      <c r="C63" s="6" t="inlineStr">
        <is>
          <t>lease_liability.payments_principal[t]</t>
        </is>
      </c>
      <c r="D63" s="6" t="inlineStr">
        <is>
          <t>abs(lease_liability.close[t-1])</t>
        </is>
      </c>
      <c r="E63" s="6" t="inlineStr">
        <is>
          <t>pct</t>
        </is>
      </c>
      <c r="F63" s="6" t="inlineStr">
        <is>
          <t>abs_den</t>
        </is>
      </c>
      <c r="G63" s="6" t="inlineStr">
        <is>
          <t>avg_3y</t>
        </is>
      </c>
      <c r="H63" s="9" t="inlineStr">
        <is>
          <t>lease_payment_pct_opening (M_RAT_015)</t>
        </is>
      </c>
    </row>
    <row r="64">
      <c r="A64" s="10" t="inlineStr">
        <is>
          <t>kpi.return.roe</t>
        </is>
      </c>
      <c r="B64" s="8" t="inlineStr">
        <is>
          <t>return</t>
        </is>
      </c>
      <c r="C64" s="8" t="inlineStr">
        <is>
          <t>pl.net_income[t]</t>
        </is>
      </c>
      <c r="D64" s="8" t="inlineStr">
        <is>
          <t>equity.total_avg</t>
        </is>
      </c>
      <c r="E64" s="8" t="inlineStr">
        <is>
          <t>pct</t>
        </is>
      </c>
      <c r="F64" s="8" t="inlineStr">
        <is>
          <t>raw</t>
        </is>
      </c>
      <c r="G64" s="8" t="inlineStr">
        <is>
          <t>y0_value</t>
        </is>
      </c>
      <c r="H64" s="10" t="inlineStr"/>
    </row>
    <row r="65">
      <c r="A65" s="9" t="inlineStr">
        <is>
          <t>kpi.return.roic</t>
        </is>
      </c>
      <c r="B65" s="6" t="inlineStr">
        <is>
          <t>return</t>
        </is>
      </c>
      <c r="C65" s="6" t="inlineStr">
        <is>
          <t>pl.ebit*(1-etr)</t>
        </is>
      </c>
      <c r="D65" s="6" t="inlineStr">
        <is>
          <t>invested_capital_avg</t>
        </is>
      </c>
      <c r="E65" s="6" t="inlineStr">
        <is>
          <t>pct</t>
        </is>
      </c>
      <c r="F65" s="6" t="inlineStr">
        <is>
          <t>raw</t>
        </is>
      </c>
      <c r="G65" s="6" t="inlineStr">
        <is>
          <t>y0_value</t>
        </is>
      </c>
      <c r="H65" s="9" t="inlineStr"/>
    </row>
    <row r="66">
      <c r="A66" s="10" t="inlineStr">
        <is>
          <t>kpi.return.roa</t>
        </is>
      </c>
      <c r="B66" s="8" t="inlineStr">
        <is>
          <t>return</t>
        </is>
      </c>
      <c r="C66" s="8" t="inlineStr">
        <is>
          <t>pl.net_income[t]</t>
        </is>
      </c>
      <c r="D66" s="8" t="inlineStr">
        <is>
          <t>total_assets_avg</t>
        </is>
      </c>
      <c r="E66" s="8" t="inlineStr">
        <is>
          <t>pct</t>
        </is>
      </c>
      <c r="F66" s="8" t="inlineStr">
        <is>
          <t>raw</t>
        </is>
      </c>
      <c r="G66" s="8" t="inlineStr">
        <is>
          <t>y0_value</t>
        </is>
      </c>
      <c r="H66" s="10" t="inlineStr"/>
    </row>
    <row r="67">
      <c r="A67" s="9" t="inlineStr">
        <is>
          <t>kpi.return.asset_turnover</t>
        </is>
      </c>
      <c r="B67" s="6" t="inlineStr">
        <is>
          <t>return</t>
        </is>
      </c>
      <c r="C67" s="6" t="inlineStr">
        <is>
          <t>pl.rev.net[t]</t>
        </is>
      </c>
      <c r="D67" s="6" t="inlineStr">
        <is>
          <t>total_assets_avg</t>
        </is>
      </c>
      <c r="E67" s="6" t="inlineStr">
        <is>
          <t>ratio</t>
        </is>
      </c>
      <c r="F67" s="6" t="inlineStr">
        <is>
          <t>raw</t>
        </is>
      </c>
      <c r="G67" s="6" t="inlineStr">
        <is>
          <t>y0_value</t>
        </is>
      </c>
      <c r="H67" s="9" t="inlineStr"/>
    </row>
    <row r="68">
      <c r="A68" s="10" t="inlineStr">
        <is>
          <t>kpi.tax.etr</t>
        </is>
      </c>
      <c r="B68" s="8" t="inlineStr">
        <is>
          <t>tax</t>
        </is>
      </c>
      <c r="C68" s="8" t="inlineStr">
        <is>
          <t>pl.tax.total[t]</t>
        </is>
      </c>
      <c r="D68" s="8" t="inlineStr">
        <is>
          <t>pl.ebt[t]</t>
        </is>
      </c>
      <c r="E68" s="8" t="inlineStr">
        <is>
          <t>pct</t>
        </is>
      </c>
      <c r="F68" s="8" t="inlineStr">
        <is>
          <t>abs_num</t>
        </is>
      </c>
      <c r="G68" s="8" t="inlineStr">
        <is>
          <t>avg_3y</t>
        </is>
      </c>
      <c r="H68" s="10" t="inlineStr">
        <is>
          <t>tax_current_etr_simplified (R_DRV_009)</t>
        </is>
      </c>
    </row>
    <row r="69">
      <c r="A69" s="9" t="inlineStr">
        <is>
          <t>kpi.tax.cash_tax_rate</t>
        </is>
      </c>
      <c r="B69" s="6" t="inlineStr">
        <is>
          <t>tax</t>
        </is>
      </c>
      <c r="C69" s="6" t="inlineStr">
        <is>
          <t>pl.tax.current[t]</t>
        </is>
      </c>
      <c r="D69" s="6" t="inlineStr">
        <is>
          <t>pl.ebt[t]</t>
        </is>
      </c>
      <c r="E69" s="6" t="inlineStr">
        <is>
          <t>pct</t>
        </is>
      </c>
      <c r="F69" s="6" t="inlineStr">
        <is>
          <t>abs_num</t>
        </is>
      </c>
      <c r="G69" s="6" t="inlineStr">
        <is>
          <t>avg_3y</t>
        </is>
      </c>
      <c r="H69" s="9" t="inlineStr"/>
    </row>
    <row r="70">
      <c r="A70" s="10" t="inlineStr">
        <is>
          <t>kpi.tax.deferred_tax_pct_total</t>
        </is>
      </c>
      <c r="B70" s="8" t="inlineStr">
        <is>
          <t>tax</t>
        </is>
      </c>
      <c r="C70" s="8" t="inlineStr">
        <is>
          <t>pl.tax.deferred[t]</t>
        </is>
      </c>
      <c r="D70" s="8" t="inlineStr">
        <is>
          <t>pl.tax.total[t]</t>
        </is>
      </c>
      <c r="E70" s="8" t="inlineStr">
        <is>
          <t>pct</t>
        </is>
      </c>
      <c r="F70" s="8" t="inlineStr">
        <is>
          <t>raw</t>
        </is>
      </c>
      <c r="G70" s="8" t="inlineStr">
        <is>
          <t>avg_3y</t>
        </is>
      </c>
      <c r="H70" s="10" t="inlineStr"/>
    </row>
    <row r="71">
      <c r="A71" s="9" t="inlineStr">
        <is>
          <t>kpi.provisions.warranty_usage_rate</t>
        </is>
      </c>
      <c r="B71" s="6" t="inlineStr">
        <is>
          <t>provisions</t>
        </is>
      </c>
      <c r="C71" s="6" t="inlineStr">
        <is>
          <t>bs.provisions.warranty.usage[t]</t>
        </is>
      </c>
      <c r="D71" s="6" t="inlineStr">
        <is>
          <t>abs(warranty.balance_close[t-1])</t>
        </is>
      </c>
      <c r="E71" s="6" t="inlineStr">
        <is>
          <t>pct</t>
        </is>
      </c>
      <c r="F71" s="6" t="inlineStr">
        <is>
          <t>abs_den</t>
        </is>
      </c>
      <c r="G71" s="6" t="inlineStr">
        <is>
          <t>avg_3y</t>
        </is>
      </c>
      <c r="H71" s="9" t="inlineStr">
        <is>
          <t>warranty_usage_pct_balance (M_RAT_016)</t>
        </is>
      </c>
    </row>
    <row r="72">
      <c r="A72" s="10" t="inlineStr">
        <is>
          <t>kpi.provisions.warranty_balance_pct_revenue</t>
        </is>
      </c>
      <c r="B72" s="8" t="inlineStr">
        <is>
          <t>provisions</t>
        </is>
      </c>
      <c r="C72" s="8" t="inlineStr">
        <is>
          <t>abs(warranty.balance_close[t])</t>
        </is>
      </c>
      <c r="D72" s="8" t="inlineStr">
        <is>
          <t>pl.rev.net[t]</t>
        </is>
      </c>
      <c r="E72" s="8" t="inlineStr">
        <is>
          <t>pct</t>
        </is>
      </c>
      <c r="F72" s="8" t="inlineStr">
        <is>
          <t>abs_num</t>
        </is>
      </c>
      <c r="G72" s="8" t="inlineStr">
        <is>
          <t>avg_3y</t>
        </is>
      </c>
      <c r="H72" s="10" t="inlineStr"/>
    </row>
    <row r="73">
      <c r="A73" s="9" t="inlineStr">
        <is>
          <t>kpi.provisions.warranty_accrual_rate</t>
        </is>
      </c>
      <c r="B73" s="6" t="inlineStr">
        <is>
          <t>provisions</t>
        </is>
      </c>
      <c r="C73" s="6" t="inlineStr">
        <is>
          <t>pl.provisions.warranty[t]</t>
        </is>
      </c>
      <c r="D73" s="6" t="inlineStr">
        <is>
          <t>pl.rev.gross.product_sales[t]</t>
        </is>
      </c>
      <c r="E73" s="6" t="inlineStr">
        <is>
          <t>pct</t>
        </is>
      </c>
      <c r="F73" s="6" t="inlineStr">
        <is>
          <t>abs_num</t>
        </is>
      </c>
      <c r="G73" s="6" t="inlineStr">
        <is>
          <t>avg_3y</t>
        </is>
      </c>
      <c r="H73" s="9" t="inlineStr">
        <is>
          <t>warranty_rate_revenue (M_RAT_019)</t>
        </is>
      </c>
    </row>
    <row r="74">
      <c r="A74" s="10" t="inlineStr">
        <is>
          <t>kpi.provisions.total_pct_revenue</t>
        </is>
      </c>
      <c r="B74" s="8" t="inlineStr">
        <is>
          <t>provisions</t>
        </is>
      </c>
      <c r="C74" s="8" t="inlineStr">
        <is>
          <t>abs(provisions.total_close[t])</t>
        </is>
      </c>
      <c r="D74" s="8" t="inlineStr">
        <is>
          <t>pl.rev.net[t]</t>
        </is>
      </c>
      <c r="E74" s="8" t="inlineStr">
        <is>
          <t>pct</t>
        </is>
      </c>
      <c r="F74" s="8" t="inlineStr">
        <is>
          <t>abs_num</t>
        </is>
      </c>
      <c r="G74" s="8" t="inlineStr">
        <is>
          <t>avg_3y</t>
        </is>
      </c>
      <c r="H74" s="10" t="inlineStr"/>
    </row>
    <row r="75">
      <c r="A75" s="9" t="inlineStr">
        <is>
          <t>kpi.employee.service_cost_rate</t>
        </is>
      </c>
      <c r="B75" s="6" t="inlineStr">
        <is>
          <t>employee</t>
        </is>
      </c>
      <c r="C75" s="6" t="inlineStr">
        <is>
          <t>bs.employee_benefits.service_cost[t]</t>
        </is>
      </c>
      <c r="D75" s="6" t="inlineStr">
        <is>
          <t>total_labour_cost[t]</t>
        </is>
      </c>
      <c r="E75" s="6" t="inlineStr">
        <is>
          <t>pct</t>
        </is>
      </c>
      <c r="F75" s="6" t="inlineStr">
        <is>
          <t>abs_both</t>
        </is>
      </c>
      <c r="G75" s="6" t="inlineStr">
        <is>
          <t>avg_3y</t>
        </is>
      </c>
      <c r="H75" s="9" t="inlineStr">
        <is>
          <t>employee_benefits_service_cost_rate (M_RAT_017)</t>
        </is>
      </c>
    </row>
    <row r="76">
      <c r="A76" s="10" t="inlineStr">
        <is>
          <t>kpi.employee.turnover_rate</t>
        </is>
      </c>
      <c r="B76" s="8" t="inlineStr">
        <is>
          <t>employee</t>
        </is>
      </c>
      <c r="C76" s="8" t="inlineStr">
        <is>
          <t>bs.employee_benefits.payments_to_employees[t]</t>
        </is>
      </c>
      <c r="D76" s="8" t="inlineStr">
        <is>
          <t>abs(eb.balance_close[t-1])</t>
        </is>
      </c>
      <c r="E76" s="8" t="inlineStr">
        <is>
          <t>pct</t>
        </is>
      </c>
      <c r="F76" s="8" t="inlineStr">
        <is>
          <t>abs_den</t>
        </is>
      </c>
      <c r="G76" s="8" t="inlineStr">
        <is>
          <t>avg_3y</t>
        </is>
      </c>
      <c r="H76" s="10" t="inlineStr">
        <is>
          <t>employee_benefits_payments_pct_balance (M_RAT_018)</t>
        </is>
      </c>
    </row>
    <row r="77">
      <c r="A77" s="9" t="inlineStr">
        <is>
          <t>kpi.employee.discount_rate_implied</t>
        </is>
      </c>
      <c r="B77" s="6" t="inlineStr">
        <is>
          <t>employee</t>
        </is>
      </c>
      <c r="C77" s="6" t="inlineStr">
        <is>
          <t>bs.employee_benefits.interest_cost[t]</t>
        </is>
      </c>
      <c r="D77" s="6" t="inlineStr">
        <is>
          <t>abs(eb.balance_avg)</t>
        </is>
      </c>
      <c r="E77" s="6" t="inlineStr">
        <is>
          <t>pct</t>
        </is>
      </c>
      <c r="F77" s="6" t="inlineStr">
        <is>
          <t>abs_num</t>
        </is>
      </c>
      <c r="G77" s="6" t="inlineStr">
        <is>
          <t>avg_3y</t>
        </is>
      </c>
      <c r="H77" s="9" t="inlineStr">
        <is>
          <t>employee_benefits_interest_cost (R_DRV_018)</t>
        </is>
      </c>
    </row>
    <row r="78">
      <c r="A78" s="10" t="inlineStr">
        <is>
          <t>kpi.equity.payout_ratio</t>
        </is>
      </c>
      <c r="B78" s="8" t="inlineStr">
        <is>
          <t>equity</t>
        </is>
      </c>
      <c r="C78" s="8" t="inlineStr">
        <is>
          <t>bs.equity.capital.dividends_paid[t]</t>
        </is>
      </c>
      <c r="D78" s="8" t="inlineStr">
        <is>
          <t>pl.net_income[t-1]</t>
        </is>
      </c>
      <c r="E78" s="8" t="inlineStr">
        <is>
          <t>pct</t>
        </is>
      </c>
      <c r="F78" s="8" t="inlineStr">
        <is>
          <t>abs_num</t>
        </is>
      </c>
      <c r="G78" s="8" t="inlineStr">
        <is>
          <t>avg_3y</t>
        </is>
      </c>
      <c r="H78" s="10" t="inlineStr">
        <is>
          <t>dividend_payout_ratio (M_RAT_022)</t>
        </is>
      </c>
    </row>
    <row r="79">
      <c r="A79" s="9" t="inlineStr">
        <is>
          <t>kpi.equity.dividend_per_share</t>
        </is>
      </c>
      <c r="B79" s="6" t="inlineStr">
        <is>
          <t>equity</t>
        </is>
      </c>
      <c r="C79" s="6" t="inlineStr">
        <is>
          <t>bs.equity.capital.dividends_paid[t]</t>
        </is>
      </c>
      <c r="D79" s="6" t="inlineStr">
        <is>
          <t>shares_outstanding[t]</t>
        </is>
      </c>
      <c r="E79" s="6" t="inlineStr">
        <is>
          <t>eur_per_unit</t>
        </is>
      </c>
      <c r="F79" s="6" t="inlineStr">
        <is>
          <t>abs_num</t>
        </is>
      </c>
      <c r="G79" s="6" t="inlineStr">
        <is>
          <t>avg_3y</t>
        </is>
      </c>
      <c r="H79" s="9" t="inlineStr">
        <is>
          <t>dividend_per_share (M_RAT_023)</t>
        </is>
      </c>
    </row>
    <row r="80">
      <c r="A80" s="10" t="inlineStr">
        <is>
          <t>kpi.saas.arr_y0</t>
        </is>
      </c>
      <c r="B80" s="8" t="inlineStr">
        <is>
          <t>sector_specific</t>
        </is>
      </c>
      <c r="C80" s="8" t="inlineStr">
        <is>
          <t>pl.rev.gross.subscription run-rate</t>
        </is>
      </c>
      <c r="D80" s="8" t="inlineStr">
        <is>
          <t>—</t>
        </is>
      </c>
      <c r="E80" s="8" t="inlineStr">
        <is>
          <t>eur_000</t>
        </is>
      </c>
      <c r="F80" s="8" t="inlineStr">
        <is>
          <t>raw</t>
        </is>
      </c>
      <c r="G80" s="8" t="inlineStr">
        <is>
          <t>y0_value</t>
        </is>
      </c>
      <c r="H80" s="10" t="inlineStr">
        <is>
          <t>arr_bridge (M_BRG_002) — SaaS pack</t>
        </is>
      </c>
    </row>
    <row r="81">
      <c r="A81" s="9" t="inlineStr">
        <is>
          <t>kpi.saas.new_arr_rate</t>
        </is>
      </c>
      <c r="B81" s="6" t="inlineStr">
        <is>
          <t>sector_specific</t>
        </is>
      </c>
      <c r="C81" s="6" t="inlineStr">
        <is>
          <t>driver.saas.new_arr[t]</t>
        </is>
      </c>
      <c r="D81" s="6" t="inlineStr">
        <is>
          <t>kpi.saas.arr_y0[t-1]</t>
        </is>
      </c>
      <c r="E81" s="6" t="inlineStr">
        <is>
          <t>pct</t>
        </is>
      </c>
      <c r="F81" s="6" t="inlineStr">
        <is>
          <t>raw</t>
        </is>
      </c>
      <c r="G81" s="6" t="inlineStr">
        <is>
          <t>avg_3y</t>
        </is>
      </c>
      <c r="H81" s="9" t="inlineStr">
        <is>
          <t>arr_bridge</t>
        </is>
      </c>
    </row>
    <row r="82">
      <c r="A82" s="10" t="inlineStr">
        <is>
          <t>kpi.saas.expansion_rate</t>
        </is>
      </c>
      <c r="B82" s="8" t="inlineStr">
        <is>
          <t>sector_specific</t>
        </is>
      </c>
      <c r="C82" s="8" t="inlineStr">
        <is>
          <t>driver.saas.expansion_arr[t]</t>
        </is>
      </c>
      <c r="D82" s="8" t="inlineStr">
        <is>
          <t>kpi.saas.arr_y0[t-1]</t>
        </is>
      </c>
      <c r="E82" s="8" t="inlineStr">
        <is>
          <t>pct</t>
        </is>
      </c>
      <c r="F82" s="8" t="inlineStr">
        <is>
          <t>raw</t>
        </is>
      </c>
      <c r="G82" s="8" t="inlineStr">
        <is>
          <t>avg_3y</t>
        </is>
      </c>
      <c r="H82" s="10" t="inlineStr">
        <is>
          <t>arr_bridge</t>
        </is>
      </c>
    </row>
    <row r="83">
      <c r="A83" s="9" t="inlineStr">
        <is>
          <t>kpi.saas.contraction_rate</t>
        </is>
      </c>
      <c r="B83" s="6" t="inlineStr">
        <is>
          <t>sector_specific</t>
        </is>
      </c>
      <c r="C83" s="6" t="inlineStr">
        <is>
          <t>driver.saas.contraction_arr[t]</t>
        </is>
      </c>
      <c r="D83" s="6" t="inlineStr">
        <is>
          <t>kpi.saas.arr_y0[t-1]</t>
        </is>
      </c>
      <c r="E83" s="6" t="inlineStr">
        <is>
          <t>pct</t>
        </is>
      </c>
      <c r="F83" s="6" t="inlineStr">
        <is>
          <t>raw</t>
        </is>
      </c>
      <c r="G83" s="6" t="inlineStr">
        <is>
          <t>avg_3y</t>
        </is>
      </c>
      <c r="H83" s="9" t="inlineStr">
        <is>
          <t>arr_bridge</t>
        </is>
      </c>
    </row>
    <row r="84">
      <c r="A84" s="10" t="inlineStr">
        <is>
          <t>kpi.saas.gross_churn_rate</t>
        </is>
      </c>
      <c r="B84" s="8" t="inlineStr">
        <is>
          <t>sector_specific</t>
        </is>
      </c>
      <c r="C84" s="8" t="inlineStr">
        <is>
          <t>driver.saas.churn_arr[t]</t>
        </is>
      </c>
      <c r="D84" s="8" t="inlineStr">
        <is>
          <t>kpi.saas.arr_y0[t-1]</t>
        </is>
      </c>
      <c r="E84" s="8" t="inlineStr">
        <is>
          <t>pct</t>
        </is>
      </c>
      <c r="F84" s="8" t="inlineStr">
        <is>
          <t>raw</t>
        </is>
      </c>
      <c r="G84" s="8" t="inlineStr">
        <is>
          <t>avg_3y</t>
        </is>
      </c>
      <c r="H84" s="10" t="inlineStr">
        <is>
          <t>arr_bridge</t>
        </is>
      </c>
    </row>
    <row r="85">
      <c r="A85" s="9" t="inlineStr">
        <is>
          <t>kpi.saas.nrr</t>
        </is>
      </c>
      <c r="B85" s="6" t="inlineStr">
        <is>
          <t>sector_specific</t>
        </is>
      </c>
      <c r="C85" s="6" t="inlineStr">
        <is>
          <t>(arr + expansion - contr - churn)</t>
        </is>
      </c>
      <c r="D85" s="6" t="inlineStr">
        <is>
          <t>arr_prior</t>
        </is>
      </c>
      <c r="E85" s="6" t="inlineStr">
        <is>
          <t>ratio</t>
        </is>
      </c>
      <c r="F85" s="6" t="inlineStr">
        <is>
          <t>derived</t>
        </is>
      </c>
      <c r="G85" s="6" t="inlineStr">
        <is>
          <t>avg_3y</t>
        </is>
      </c>
      <c r="H85" s="9" t="inlineStr"/>
    </row>
    <row r="86">
      <c r="A86" s="10" t="inlineStr">
        <is>
          <t>kpi.saas.grr</t>
        </is>
      </c>
      <c r="B86" s="8" t="inlineStr">
        <is>
          <t>sector_specific</t>
        </is>
      </c>
      <c r="C86" s="8" t="inlineStr">
        <is>
          <t>(arr - contr - churn)</t>
        </is>
      </c>
      <c r="D86" s="8" t="inlineStr">
        <is>
          <t>arr_prior</t>
        </is>
      </c>
      <c r="E86" s="8" t="inlineStr">
        <is>
          <t>ratio</t>
        </is>
      </c>
      <c r="F86" s="8" t="inlineStr">
        <is>
          <t>derived</t>
        </is>
      </c>
      <c r="G86" s="8" t="inlineStr">
        <is>
          <t>avg_3y</t>
        </is>
      </c>
      <c r="H86" s="10" t="inlineStr"/>
    </row>
    <row r="87">
      <c r="A87" s="9" t="inlineStr">
        <is>
          <t>kpi.services.utilization_rate</t>
        </is>
      </c>
      <c r="B87" s="6" t="inlineStr">
        <is>
          <t>sector_specific</t>
        </is>
      </c>
      <c r="C87" s="6" t="inlineStr">
        <is>
          <t>driver.services.billable_hours[t]</t>
        </is>
      </c>
      <c r="D87" s="6" t="inlineStr">
        <is>
          <t>fte_billable × working_days × 8</t>
        </is>
      </c>
      <c r="E87" s="6" t="inlineStr">
        <is>
          <t>pct</t>
        </is>
      </c>
      <c r="F87" s="6" t="inlineStr">
        <is>
          <t>raw</t>
        </is>
      </c>
      <c r="G87" s="6" t="inlineStr">
        <is>
          <t>avg_3y</t>
        </is>
      </c>
      <c r="H87" s="9" t="inlineStr">
        <is>
          <t>Services pack</t>
        </is>
      </c>
    </row>
    <row r="88">
      <c r="A88" s="10" t="inlineStr">
        <is>
          <t>kpi.services.revenue_per_fte</t>
        </is>
      </c>
      <c r="B88" s="8" t="inlineStr">
        <is>
          <t>sector_specific</t>
        </is>
      </c>
      <c r="C88" s="8" t="inlineStr">
        <is>
          <t>pl.rev.gross.service_revenue[t]</t>
        </is>
      </c>
      <c r="D88" s="8" t="inlineStr">
        <is>
          <t>driver.services.fte_billable[t]</t>
        </is>
      </c>
      <c r="E88" s="8" t="inlineStr">
        <is>
          <t>eur_000</t>
        </is>
      </c>
      <c r="F88" s="8" t="inlineStr">
        <is>
          <t>raw</t>
        </is>
      </c>
      <c r="G88" s="8" t="inlineStr">
        <is>
          <t>avg_3y</t>
        </is>
      </c>
      <c r="H88" s="10" t="inlineStr">
        <is>
          <t>Services pack</t>
        </is>
      </c>
    </row>
    <row r="90" ht="22" customHeight="1">
      <c r="A90" s="3" t="inlineStr">
        <is>
          <t>Totali: 84 KPI catalogati (template parametrici instanziati on-demand)</t>
        </is>
      </c>
    </row>
    <row r="91">
      <c r="A91" s="20" t="inlineStr">
        <is>
          <t>• Conteggio: 87 KPI come da Step 5 (questo elenco mostra 84 record incluse template).</t>
        </is>
      </c>
    </row>
    <row r="92">
      <c r="A92" s="20" t="inlineStr">
        <is>
          <t>• I KPI parametrici (template) si applicano a ogni voce dello stesso tipo — es. kpi.growth.&lt;voice&gt;_yoy istanziato per pl.rev.gross.product_sales, ecc.</t>
        </is>
      </c>
    </row>
    <row r="93">
      <c r="A93" s="20" t="inlineStr">
        <is>
          <t>• Sign handling: raw = valori as-is, abs_num = valore assoluto numeratore, abs_den = abs denominatore, abs_both = entrambi, signed = mantiene segno algebrico.</t>
        </is>
      </c>
    </row>
    <row r="94">
      <c r="A94" s="20" t="inlineStr">
        <is>
          <t>• Default aggregation: avg_3y (Y-2,Y-1,Y0), y0_value (solo Y0), last_3y_cagr (per growth KPI), derived (KPI calcolato da altri KPI).</t>
        </is>
      </c>
    </row>
    <row r="95">
      <c r="A95" s="20" t="inlineStr">
        <is>
          <t>• Ogni metodo che richiede un'assumption con default può puntare a un default_kpi_id qui catalogato (cross-ref in colonna 'used_in_methods').</t>
        </is>
      </c>
    </row>
  </sheetData>
  <mergeCells count="8">
    <mergeCell ref="A94:H94"/>
    <mergeCell ref="A3:H3"/>
    <mergeCell ref="A92:H92"/>
    <mergeCell ref="A91:H91"/>
    <mergeCell ref="A95:H95"/>
    <mergeCell ref="A90:H90"/>
    <mergeCell ref="A1:H1"/>
    <mergeCell ref="A93:H9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4" customWidth="1" min="3" max="3"/>
    <col width="50" customWidth="1" min="4" max="4"/>
    <col width="18" customWidth="1" min="5" max="5"/>
    <col width="14" customWidth="1" min="6" max="6"/>
    <col width="30" customWidth="1" min="7" max="7"/>
  </cols>
  <sheetData>
    <row r="1" ht="28" customHeight="1">
      <c r="A1" s="1" t="inlineStr">
        <is>
          <t>Dependency Graph &amp; Engine Execution Order — 11 fasi</t>
        </is>
      </c>
    </row>
    <row r="3" ht="22" customHeight="1">
      <c r="A3" s="3" t="inlineStr">
        <is>
          <t>Sezione A — Sequenza fasi engine (E0-E8 con sub-phase E3.1, E7.5)</t>
        </is>
      </c>
    </row>
    <row r="4" ht="32" customHeight="1">
      <c r="A4" s="4" t="inlineStr">
        <is>
          <t>phase</t>
        </is>
      </c>
      <c r="B4" s="4" t="inlineStr">
        <is>
          <t>nome</t>
        </is>
      </c>
      <c r="C4" s="4" t="inlineStr">
        <is>
          <t>voci processate (n)</t>
        </is>
      </c>
      <c r="D4" s="4" t="inlineStr">
        <is>
          <t>input principali</t>
        </is>
      </c>
      <c r="E4" s="4" t="inlineStr">
        <is>
          <t>output principali</t>
        </is>
      </c>
      <c r="F4" s="4" t="inlineStr">
        <is>
          <t>errore residuo</t>
        </is>
      </c>
      <c r="G4" s="4" t="inlineStr">
        <is>
          <t>note</t>
        </is>
      </c>
    </row>
    <row r="5">
      <c r="A5" s="9" t="inlineStr">
        <is>
          <t>E0</t>
        </is>
      </c>
      <c r="B5" s="6" t="inlineStr">
        <is>
          <t>Pre-processing (setup)</t>
        </is>
      </c>
      <c r="C5" s="6" t="inlineStr">
        <is>
          <t>0 modello (KPI + setup)</t>
        </is>
      </c>
      <c r="D5" s="6" t="inlineStr">
        <is>
          <t>Dataset consuntivo Y-3..Y0, configurazione (perimetro, settore, tier)</t>
        </is>
      </c>
      <c r="E5" s="6" t="inlineStr">
        <is>
          <t>KPI storici (87 × 4 anni), assumptions inizializzate</t>
        </is>
      </c>
      <c r="F5" s="6" t="inlineStr">
        <is>
          <t>0 (validation hard-blocking)</t>
        </is>
      </c>
      <c r="G5" s="6" t="inlineStr">
        <is>
          <t>Validazione integrità + applicazione sector pack</t>
        </is>
      </c>
    </row>
    <row r="6">
      <c r="A6" s="10" t="inlineStr">
        <is>
          <t>E1</t>
        </is>
      </c>
      <c r="B6" s="8" t="inlineStr">
        <is>
          <t>P&amp;L driver core</t>
        </is>
      </c>
      <c r="C6" s="8" t="inlineStr">
        <is>
          <t>~50 voci</t>
        </is>
      </c>
      <c r="D6" s="8" t="inlineStr">
        <is>
          <t>consuntivi Y-1..Y0, assumptions, exogenous (CPI)</t>
        </is>
      </c>
      <c r="E6" s="8" t="inlineStr">
        <is>
          <t>Ricavi gross, deductions, OPEX, COGS (escl. inventory_writeoff/wip), provisions, financial.fx, equity_method, non_op</t>
        </is>
      </c>
      <c r="F6" s="8" t="inlineStr">
        <is>
          <t>&lt;1% sui proxy (corretti in E3/E3.1)</t>
        </is>
      </c>
      <c r="G6" s="8" t="inlineStr">
        <is>
          <t>Calcolato pl.rev.net.proxy, pl.cogs.total.proxy, pl.gross_profit.proxy, pl.ebitda.proxy</t>
        </is>
      </c>
    </row>
    <row r="7">
      <c r="A7" s="9" t="inlineStr">
        <is>
          <t>E2</t>
        </is>
      </c>
      <c r="B7" s="6" t="inlineStr">
        <is>
          <t>SP fixed assets + D&amp;A + impairment + FV revaluation</t>
        </is>
      </c>
      <c r="C7" s="6" t="inlineStr">
        <is>
          <t>~39 voci</t>
        </is>
      </c>
      <c r="D7" s="6" t="inlineStr">
        <is>
          <t>consuntivi Y0 fixed assets, assumptions capex/disposals/useful_life</t>
        </is>
      </c>
      <c r="E7" s="6" t="inlineStr">
        <is>
          <t>PPE, intangibles, goodwill, ROU, IP, financial assets; pl.da.*; pl.impairment.*; pl.other.fair_value_gain_loss_IP</t>
        </is>
      </c>
      <c r="F7" s="6" t="inlineStr">
        <is>
          <t>0 (mid-year convention documentata)</t>
        </is>
      </c>
      <c r="G7" s="6" t="inlineStr">
        <is>
          <t>Mid-year D&amp;A; FV IP flussa a P&amp;L</t>
        </is>
      </c>
    </row>
    <row r="8">
      <c r="A8" s="10" t="inlineStr">
        <is>
          <t>E3</t>
        </is>
      </c>
      <c r="B8" s="8" t="inlineStr">
        <is>
          <t>SP NWC operativo + ricalcolo COGS esatto</t>
        </is>
      </c>
      <c r="C8" s="8" t="inlineStr">
        <is>
          <t>~25 voci</t>
        </is>
      </c>
      <c r="D8" s="8" t="inlineStr">
        <is>
          <t>pl.rev.net.proxy, pl.cogs.* da E1, assumptions days/pct</t>
        </is>
      </c>
      <c r="E8" s="8" t="inlineStr">
        <is>
          <t>NWC operativo (proxy senza CIT); pl.cogs.inventory_writeoff e wip_capitalization; pl.cogs.total.final; pl.gross_profit, pl.ebitda recompute</t>
        </is>
      </c>
      <c r="F8" s="8" t="inlineStr">
        <is>
          <t>&lt;1% (proxy NWC)</t>
        </is>
      </c>
      <c r="G8" s="8" t="inlineStr">
        <is>
          <t>Sostituisce proxy COGS</t>
        </is>
      </c>
    </row>
    <row r="9">
      <c r="A9" s="9" t="inlineStr">
        <is>
          <t>E3.1</t>
        </is>
      </c>
      <c r="B9" s="6" t="inlineStr">
        <is>
          <t>IFRS 15 adjustments + pl.rev.net definitivo</t>
        </is>
      </c>
      <c r="C9" s="6" t="inlineStr">
        <is>
          <t>3 voci</t>
        </is>
      </c>
      <c r="D9" s="6" t="inlineStr">
        <is>
          <t>bs.nwc.contract_assets/contract_liabilities (E3)</t>
        </is>
      </c>
      <c r="E9" s="6" t="inlineStr">
        <is>
          <t>pl.rev.adjustments.*, pl.rev.net.final, pl.gross_profit.final, pl.ebitda.final</t>
        </is>
      </c>
      <c r="F9" s="6" t="inlineStr">
        <is>
          <t>0 (NWC denominator residual error &lt;1%)</t>
        </is>
      </c>
      <c r="G9" s="6" t="inlineStr">
        <is>
          <t>Chiusura IFRS 15</t>
        </is>
      </c>
    </row>
    <row r="10">
      <c r="A10" s="10" t="inlineStr">
        <is>
          <t>E4</t>
        </is>
      </c>
      <c r="B10" s="8" t="inlineStr">
        <is>
          <t>NFP + financial expenses</t>
        </is>
      </c>
      <c r="C10" s="8" t="inlineStr">
        <is>
          <t>~15 voci</t>
        </is>
      </c>
      <c r="D10" s="8" t="inlineStr">
        <is>
          <t>consuntivi Y0 NFP, assumptions debt schedule, lease</t>
        </is>
      </c>
      <c r="E10" s="8" t="inlineStr">
        <is>
          <t>borrowings.total_close, lease_liability.close (con interest_accrued), pl.financial.* (interest exp/income/lease)</t>
        </is>
      </c>
      <c r="F10" s="8" t="inlineStr">
        <is>
          <t>&lt;1% (interest_income proxy con cash[t-1])</t>
        </is>
      </c>
      <c r="G10" s="8" t="inlineStr">
        <is>
          <t>Sub-circolarità lease accrued con proxy intra-fase</t>
        </is>
      </c>
    </row>
    <row r="11">
      <c r="A11" s="9" t="inlineStr">
        <is>
          <t>E5</t>
        </is>
      </c>
      <c r="B11" s="6" t="inlineStr">
        <is>
          <t>Provisions SP + Employee benefits</t>
        </is>
      </c>
      <c r="C11" s="6" t="inlineStr">
        <is>
          <t>~14 voci</t>
        </is>
      </c>
      <c r="D11" s="6" t="inlineStr">
        <is>
          <t>pl.provisions.* (E1), labour costs (E1), assumptions usage_rate, turnover, discount_rate</t>
        </is>
      </c>
      <c r="E11" s="6" t="inlineStr">
        <is>
          <t>Saldi fondi {warranty, restructuring, legal_other, other}; balance EB</t>
        </is>
      </c>
      <c r="F11" s="6" t="inlineStr">
        <is>
          <t>&lt;0.1% (sub-circolarità EB interest)</t>
        </is>
      </c>
      <c r="G11" s="6" t="inlineStr">
        <is>
          <t>Sub-circolarità EB con proxy intra-fase</t>
        </is>
      </c>
    </row>
    <row r="12">
      <c r="A12" s="10" t="inlineStr">
        <is>
          <t>E6</t>
        </is>
      </c>
      <c r="B12" s="8" t="inlineStr">
        <is>
          <t>Tax differita + Equity (driver)</t>
        </is>
      </c>
      <c r="C12" s="8" t="inlineStr">
        <is>
          <t>~13 voci</t>
        </is>
      </c>
      <c r="D12" s="8" t="inlineStr">
        <is>
          <t>consuntivi DTA/DTL Y0, pl.net_income[t-1] per dividendi</t>
        </is>
      </c>
      <c r="E12" s="8" t="inlineStr">
        <is>
          <t>DTA/DTL movement+close; capital changes (organic, dividends, buyback, OCI, NCI); equity intermedie</t>
        </is>
      </c>
      <c r="F12" s="8" t="inlineStr">
        <is>
          <t>0</t>
        </is>
      </c>
      <c r="G12" s="8" t="inlineStr">
        <is>
          <t>OCI riceve identity da actuarial_changes (E5)</t>
        </is>
      </c>
    </row>
    <row r="13">
      <c r="A13" s="9" t="inlineStr">
        <is>
          <t>E7</t>
        </is>
      </c>
      <c r="B13" s="6" t="inlineStr">
        <is>
          <t>P&amp;L bottom + tax current + retained earnings</t>
        </is>
      </c>
      <c r="C13" s="6" t="inlineStr">
        <is>
          <t>~13 voci</t>
        </is>
      </c>
      <c r="D13" s="6" t="inlineStr">
        <is>
          <t>tutti gli aggregati P&amp;L da E1-E6</t>
        </is>
      </c>
      <c r="E13" s="6" t="inlineStr">
        <is>
          <t>pl.ebit, pl.ebt, pl.tax.{current/deferred/total}, pl.net_income, pl.ebitda_adjusted, pl.ebit_adjusted; bs.equity.retained_earnings.close, bs.equity.total_close; bs.tax.nol_carryforward.close</t>
        </is>
      </c>
      <c r="F13" s="6" t="inlineStr">
        <is>
          <t>0 (catena P&amp;L chiusa)</t>
        </is>
      </c>
      <c r="G13" s="6" t="inlineStr">
        <is>
          <t>Tax simplified (R_DRV_009) o advanced con NOL (R_DRV_011-013)</t>
        </is>
      </c>
    </row>
    <row r="14">
      <c r="A14" s="10" t="inlineStr">
        <is>
          <t>E7.5</t>
        </is>
      </c>
      <c r="B14" s="8" t="inlineStr">
        <is>
          <t>CIT NWC + NWC operating definitivo</t>
        </is>
      </c>
      <c r="C14" s="8" t="inlineStr">
        <is>
          <t>~6 voci</t>
        </is>
      </c>
      <c r="D14" s="8" t="inlineStr">
        <is>
          <t>pl.tax.current[t] (E7), pl.tax.current[t-1]</t>
        </is>
      </c>
      <c r="E14" s="8" t="inlineStr">
        <is>
          <t>bs.nwc.cit_payable/cit_receivable; bs.nwc.other_current_*.final; bs.nwc.operating.final</t>
        </is>
      </c>
      <c r="F14" s="8" t="inlineStr">
        <is>
          <t>0 (calcolo identity)</t>
        </is>
      </c>
      <c r="G14" s="8" t="inlineStr">
        <is>
          <t>Risolve circolarità #6 (CIT)</t>
        </is>
      </c>
    </row>
    <row r="15">
      <c r="A15" s="9" t="inlineStr">
        <is>
          <t>E8</t>
        </is>
      </c>
      <c r="B15" s="6" t="inlineStr">
        <is>
          <t>CF + cash close + balance check</t>
        </is>
      </c>
      <c r="C15" s="6" t="inlineStr">
        <is>
          <t>~38 voci</t>
        </is>
      </c>
      <c r="D15" s="6" t="inlineStr">
        <is>
          <t>tutti P&amp;L e SP da E1-E7.5</t>
        </is>
      </c>
      <c r="E15" s="6" t="inlineStr">
        <is>
          <t>Tutti i cf.*, cf.net_change_cash, bs.nfp.cash, bs.nfp.net_debt, bs.total_assets, bs.total_liabilities_equity, bs.balance_check; KPI prospettici</t>
        </is>
      </c>
      <c r="F15" s="6" t="inlineStr">
        <is>
          <t>&lt;1% balance check (cash proxy → check post-hoc)</t>
        </is>
      </c>
      <c r="G15" s="6" t="inlineStr">
        <is>
          <t>Quadratura: tolleranza max(1.0, 0.0001×|TA|)</t>
        </is>
      </c>
    </row>
    <row r="17" ht="22" customHeight="1">
      <c r="A17" s="3" t="inlineStr">
        <is>
          <t>Sezione B — 6 circolarità minori identificate (gestite con proxy/sequenziamento)</t>
        </is>
      </c>
    </row>
    <row r="18" ht="32" customHeight="1">
      <c r="A18" s="4" t="inlineStr">
        <is>
          <t>#</t>
        </is>
      </c>
      <c r="B18" s="4" t="inlineStr">
        <is>
          <t>circolarità</t>
        </is>
      </c>
      <c r="C18" s="4" t="inlineStr">
        <is>
          <t>phase</t>
        </is>
      </c>
      <c r="D18" s="4" t="inlineStr">
        <is>
          <t>risoluzione</t>
        </is>
      </c>
      <c r="E18" s="4" t="inlineStr">
        <is>
          <t>errore residuo</t>
        </is>
      </c>
      <c r="F18" s="4" t="inlineStr">
        <is>
          <t>improvement</t>
        </is>
      </c>
      <c r="G18" s="4" t="inlineStr">
        <is>
          <t>note</t>
        </is>
      </c>
    </row>
    <row r="19">
      <c r="A19" s="6" t="inlineStr">
        <is>
          <t>1</t>
        </is>
      </c>
      <c r="B19" s="6" t="inlineStr">
        <is>
          <t>pl.rev.net ↔ NWC denominators (DSO, DIO finished, contract assets/liab)</t>
        </is>
      </c>
      <c r="C19" s="6" t="inlineStr">
        <is>
          <t>E3 ↔ E3.1</t>
        </is>
      </c>
      <c r="D19" s="6" t="inlineStr">
        <is>
          <t>Proxy E1 (esclude adjustments) usato in E3; valore esatto in E3.1</t>
        </is>
      </c>
      <c r="E19" s="6" t="inlineStr">
        <is>
          <t>&lt;1%</t>
        </is>
      </c>
      <c r="F19" s="6" t="inlineStr">
        <is>
          <t>IMP_007</t>
        </is>
      </c>
      <c r="G19" s="6" t="inlineStr">
        <is>
          <t>IFRS 15 NWC approximation</t>
        </is>
      </c>
    </row>
    <row r="20">
      <c r="A20" s="8" t="inlineStr">
        <is>
          <t>2</t>
        </is>
      </c>
      <c r="B20" s="8" t="inlineStr">
        <is>
          <t>pl.cogs.total ↔ inventory.wip / inventory.finished</t>
        </is>
      </c>
      <c r="C20" s="8" t="inlineStr">
        <is>
          <t>E1 ↔ E3</t>
        </is>
      </c>
      <c r="D20" s="8" t="inlineStr">
        <is>
          <t>Proxy E1 (esclude inventory_writeoff e wip_capitalization) usato in E3; valore esatto in E3 dopo proiezione inventory</t>
        </is>
      </c>
      <c r="E20" s="8" t="inlineStr">
        <is>
          <t>&lt;1%</t>
        </is>
      </c>
      <c r="F20" s="8" t="inlineStr">
        <is>
          <t>IMP_007</t>
        </is>
      </c>
      <c r="G20" s="8" t="inlineStr">
        <is>
          <t>Inventory days approximation</t>
        </is>
      </c>
    </row>
    <row r="21">
      <c r="A21" s="6" t="inlineStr">
        <is>
          <t>3</t>
        </is>
      </c>
      <c r="B21" s="6" t="inlineStr">
        <is>
          <t>pl.financial.interest_income ↔ bs.nfp.cash</t>
        </is>
      </c>
      <c r="C21" s="6" t="inlineStr">
        <is>
          <t>E4 ↔ E8</t>
        </is>
      </c>
      <c r="D21" s="6" t="inlineStr">
        <is>
          <t>cash[t-1] usato come proxy di balance_avg in E4; check post-hoc in E8 con cash effettivo</t>
        </is>
      </c>
      <c r="E21" s="6" t="inlineStr">
        <is>
          <t>&lt;1% del NI</t>
        </is>
      </c>
      <c r="F21" s="6" t="inlineStr">
        <is>
          <t>IMP_007</t>
        </is>
      </c>
      <c r="G21" s="6" t="inlineStr">
        <is>
          <t>Cash yield piccolo, errore marginale</t>
        </is>
      </c>
    </row>
    <row r="22">
      <c r="A22" s="8" t="inlineStr">
        <is>
          <t>4</t>
        </is>
      </c>
      <c r="B22" s="8" t="inlineStr">
        <is>
          <t>bs.nfp.lease_liability.interest_accrued ↔ bs.nfp.lease_liability.close</t>
        </is>
      </c>
      <c r="C22" s="8" t="inlineStr">
        <is>
          <t>intra-E4</t>
        </is>
      </c>
      <c r="D22" s="8" t="inlineStr">
        <is>
          <t>Proxy close (escluso interest_accrued) → calcolo interest → close definitivo</t>
        </is>
      </c>
      <c r="E22" s="8" t="inlineStr">
        <is>
          <t>&lt;0.25%</t>
        </is>
      </c>
      <c r="F22" s="8" t="inlineStr">
        <is>
          <t>IMP_007</t>
        </is>
      </c>
      <c r="G22" s="8" t="inlineStr">
        <is>
          <t>Auto-include = lease_rate^2</t>
        </is>
      </c>
    </row>
    <row r="23">
      <c r="A23" s="6" t="inlineStr">
        <is>
          <t>5</t>
        </is>
      </c>
      <c r="B23" s="6" t="inlineStr">
        <is>
          <t>bs.employee_benefits.interest_cost ↔ bs.employee_benefits.balance_close</t>
        </is>
      </c>
      <c r="C23" s="6" t="inlineStr">
        <is>
          <t>intra-E5</t>
        </is>
      </c>
      <c r="D23" s="6" t="inlineStr">
        <is>
          <t>Proxy balance_close (escluso interest) → calcolo interest → balance_close definitivo</t>
        </is>
      </c>
      <c r="E23" s="6" t="inlineStr">
        <is>
          <t>&lt;0.1%</t>
        </is>
      </c>
      <c r="F23" s="6" t="inlineStr">
        <is>
          <t>IMP_007</t>
        </is>
      </c>
      <c r="G23" s="6" t="inlineStr">
        <is>
          <t>Auto-include = discount_rate^2</t>
        </is>
      </c>
    </row>
    <row r="24">
      <c r="A24" s="8" t="inlineStr">
        <is>
          <t>6</t>
        </is>
      </c>
      <c r="B24" s="8" t="inlineStr">
        <is>
          <t>CIT NWC ↔ pl.tax.current</t>
        </is>
      </c>
      <c r="C24" s="8" t="inlineStr">
        <is>
          <t>E3 ↔ E7.5</t>
        </is>
      </c>
      <c r="D24" s="8" t="inlineStr">
        <is>
          <t>NWC operating proxy in E3 (escluso CIT); CIT calcolato in E7.5 con identity da pl.tax.current; NWC operating definitivo in E7.5</t>
        </is>
      </c>
      <c r="E24" s="8" t="inlineStr">
        <is>
          <t>0 (identity)</t>
        </is>
      </c>
      <c r="F24" s="8" t="inlineStr">
        <is>
          <t>—</t>
        </is>
      </c>
      <c r="G24" s="8" t="inlineStr">
        <is>
          <t>Sequence-based, no proxy</t>
        </is>
      </c>
    </row>
    <row r="26" ht="22" customHeight="1">
      <c r="A26" s="3" t="inlineStr">
        <is>
          <t>Sezione C — Pseudocodice generale engine</t>
        </is>
      </c>
    </row>
    <row r="27">
      <c r="A27" s="21" t="inlineStr">
        <is>
          <t># Fase preliminare (una sola volta)</t>
        </is>
      </c>
    </row>
    <row r="28">
      <c r="A28" s="21" t="inlineStr">
        <is>
          <t>execute_E0()</t>
        </is>
      </c>
    </row>
    <row r="29">
      <c r="A29" s="21" t="inlineStr">
        <is>
          <t xml:space="preserve">    # Carica consuntivi Y-3..Y0</t>
        </is>
      </c>
    </row>
    <row r="30">
      <c r="A30" s="21" t="inlineStr">
        <is>
          <t xml:space="preserve">    # Calcola KPI storici (87)</t>
        </is>
      </c>
    </row>
    <row r="31">
      <c r="A31" s="21" t="inlineStr">
        <is>
          <t xml:space="preserve">    # Inizializza assumptions con default da KPI</t>
        </is>
      </c>
    </row>
    <row r="32">
      <c r="A32" s="21" t="inlineStr">
        <is>
          <t xml:space="preserve">    # Applica sector pack se selezionato</t>
        </is>
      </c>
    </row>
    <row r="33">
      <c r="A33" s="21" t="inlineStr">
        <is>
          <t xml:space="preserve">    # Validazioni TIER 0/1 (DI_001-014, CF_001-006)</t>
        </is>
      </c>
    </row>
    <row r="34">
      <c r="A34" s="21" t="inlineStr"/>
    </row>
    <row r="35">
      <c r="A35" s="21" t="inlineStr">
        <is>
          <t># Year loop</t>
        </is>
      </c>
    </row>
    <row r="36">
      <c r="A36" s="21" t="inlineStr">
        <is>
          <t>for year in [Y1, Y2, Y3]:</t>
        </is>
      </c>
    </row>
    <row r="37">
      <c r="A37" s="21" t="inlineStr">
        <is>
          <t xml:space="preserve">    execute_E1(year)    # P&amp;L driver core (proxy ebitda)</t>
        </is>
      </c>
    </row>
    <row r="38">
      <c r="A38" s="21" t="inlineStr">
        <is>
          <t xml:space="preserve">    execute_E2(year)    # SP fixed assets + D&amp;A + impairment</t>
        </is>
      </c>
    </row>
    <row r="39">
      <c r="A39" s="21" t="inlineStr">
        <is>
          <t xml:space="preserve">    execute_E3(year)    # NWC + ricalcolo COGS esatto</t>
        </is>
      </c>
    </row>
    <row r="40">
      <c r="A40" s="21" t="inlineStr">
        <is>
          <t xml:space="preserve">    execute_E3_1(year)  # IFRS 15 adjustments + pl.rev.net definitivo</t>
        </is>
      </c>
    </row>
    <row r="41">
      <c r="A41" s="21" t="inlineStr">
        <is>
          <t xml:space="preserve">    execute_E4(year)    # NFP + financial expenses</t>
        </is>
      </c>
    </row>
    <row r="42">
      <c r="A42" s="21" t="inlineStr">
        <is>
          <t xml:space="preserve">    execute_E5(year)    # Provisions SP + Employee benefits</t>
        </is>
      </c>
    </row>
    <row r="43">
      <c r="A43" s="21" t="inlineStr">
        <is>
          <t xml:space="preserve">    execute_E6(year)    # Tax differita + Equity driver</t>
        </is>
      </c>
    </row>
    <row r="44">
      <c r="A44" s="21" t="inlineStr">
        <is>
          <t xml:space="preserve">    execute_E7(year)    # P&amp;L bottom + tax current + RE close</t>
        </is>
      </c>
    </row>
    <row r="45">
      <c r="A45" s="21" t="inlineStr">
        <is>
          <t xml:space="preserve">    execute_E7_5(year)  # CIT NWC + NWC operating definitivo</t>
        </is>
      </c>
    </row>
    <row r="46">
      <c r="A46" s="21" t="inlineStr">
        <is>
          <t xml:space="preserve">    execute_E8(year)    # CF + cash close + balance check</t>
        </is>
      </c>
    </row>
    <row r="47">
      <c r="A47" s="21" t="inlineStr">
        <is>
          <t xml:space="preserve">    validate_year(year) # Esegue tutte le rules per la year</t>
        </is>
      </c>
    </row>
    <row r="48">
      <c r="A48" s="21" t="inlineStr"/>
    </row>
    <row r="49">
      <c r="A49" s="21" t="inlineStr">
        <is>
          <t># Post-loop</t>
        </is>
      </c>
    </row>
    <row r="50">
      <c r="A50" s="21" t="inlineStr">
        <is>
          <t>calculate_projected_kpis()</t>
        </is>
      </c>
    </row>
    <row r="51">
      <c r="A51" s="21" t="inlineStr">
        <is>
          <t>calculate_adjusted_metrics()  # ebitda_adjusted, ebit_adjusted</t>
        </is>
      </c>
    </row>
    <row r="52">
      <c r="A52" s="21" t="inlineStr">
        <is>
          <t>generate_validation_report()</t>
        </is>
      </c>
    </row>
    <row r="53">
      <c r="A53" s="21" t="inlineStr">
        <is>
          <t>generate_approximation_log()</t>
        </is>
      </c>
    </row>
    <row r="54">
      <c r="A54" s="21" t="inlineStr">
        <is>
          <t>generate_pilot_scope_exclusions()</t>
        </is>
      </c>
    </row>
  </sheetData>
  <mergeCells count="32">
    <mergeCell ref="A32:G32"/>
    <mergeCell ref="A17:G17"/>
    <mergeCell ref="A53:G53"/>
    <mergeCell ref="A35:G35"/>
    <mergeCell ref="A38:G38"/>
    <mergeCell ref="A29:G29"/>
    <mergeCell ref="A52:G52"/>
    <mergeCell ref="A43:G43"/>
    <mergeCell ref="A28:G28"/>
    <mergeCell ref="A44:G44"/>
    <mergeCell ref="A40:G40"/>
    <mergeCell ref="A31:G31"/>
    <mergeCell ref="A39:G39"/>
    <mergeCell ref="A34:G34"/>
    <mergeCell ref="A48:G48"/>
    <mergeCell ref="A30:G30"/>
    <mergeCell ref="A49:G49"/>
    <mergeCell ref="A51:G51"/>
    <mergeCell ref="A45:G45"/>
    <mergeCell ref="A36:G36"/>
    <mergeCell ref="A1:G1"/>
    <mergeCell ref="A54:G54"/>
    <mergeCell ref="A41:G41"/>
    <mergeCell ref="A37:G37"/>
    <mergeCell ref="A46:G46"/>
    <mergeCell ref="A27:G27"/>
    <mergeCell ref="A3:G3"/>
    <mergeCell ref="A50:G50"/>
    <mergeCell ref="A26:G26"/>
    <mergeCell ref="A33:G33"/>
    <mergeCell ref="A47:G47"/>
    <mergeCell ref="A42:G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1" customWidth="1" min="3" max="3"/>
    <col width="14" customWidth="1" min="4" max="4"/>
    <col width="18" customWidth="1" min="5" max="5"/>
    <col width="55" customWidth="1" min="6" max="6"/>
    <col width="18" customWidth="1" min="7" max="7"/>
    <col width="30" customWidth="1" min="8" max="8"/>
  </cols>
  <sheetData>
    <row r="1" ht="28" customHeight="1">
      <c r="A1" s="1" t="inlineStr">
        <is>
          <t>Validation Rules Registry — 73 regole in 7 categorie</t>
        </is>
      </c>
    </row>
    <row r="3" ht="22" customHeight="1">
      <c r="A3" s="3" t="inlineStr">
        <is>
          <t>Esecuzione automatica per fase. Severity: block/error/warning/info. Action: halt/log/fallback/user_input.</t>
        </is>
      </c>
    </row>
    <row r="4" ht="32" customHeight="1">
      <c r="A4" s="4" t="inlineStr">
        <is>
          <t>rule_id</t>
        </is>
      </c>
      <c r="B4" s="4" t="inlineStr">
        <is>
          <t>categoria</t>
        </is>
      </c>
      <c r="C4" s="4" t="inlineStr">
        <is>
          <t>severity</t>
        </is>
      </c>
      <c r="D4" s="4" t="inlineStr">
        <is>
          <t>trigger phase</t>
        </is>
      </c>
      <c r="E4" s="4" t="inlineStr">
        <is>
          <t>scope</t>
        </is>
      </c>
      <c r="F4" s="4" t="inlineStr">
        <is>
          <t>regola (sintesi formula)</t>
        </is>
      </c>
      <c r="G4" s="4" t="inlineStr">
        <is>
          <t>action</t>
        </is>
      </c>
      <c r="H4" s="4" t="inlineStr">
        <is>
          <t>note</t>
        </is>
      </c>
    </row>
    <row r="5">
      <c r="A5" s="9" t="inlineStr">
        <is>
          <t>DI_001_required_voices_present</t>
        </is>
      </c>
      <c r="B5" s="6" t="inlineStr">
        <is>
          <t>data_integrity</t>
        </is>
      </c>
      <c r="C5" s="22" t="inlineStr">
        <is>
          <t>block</t>
        </is>
      </c>
      <c r="D5" s="6" t="inlineStr">
        <is>
          <t>E0_pre</t>
        </is>
      </c>
      <c r="E5" s="6" t="inlineStr">
        <is>
          <t>global</t>
        </is>
      </c>
      <c r="F5" s="6" t="inlineStr">
        <is>
          <t>all(consuntivo[v][year] is not None for v in required_voices)</t>
        </is>
      </c>
      <c r="G5" s="6" t="inlineStr">
        <is>
          <t>use_fallback (chain) o halt</t>
        </is>
      </c>
      <c r="H5" s="6" t="inlineStr">
        <is>
          <t>Voci richieste mancanti</t>
        </is>
      </c>
    </row>
    <row r="6">
      <c r="A6" s="10" t="inlineStr">
        <is>
          <t>DI_002_y0_actual_complete</t>
        </is>
      </c>
      <c r="B6" s="8" t="inlineStr">
        <is>
          <t>data_integrity</t>
        </is>
      </c>
      <c r="C6" s="22" t="inlineStr">
        <is>
          <t>block</t>
        </is>
      </c>
      <c r="D6" s="8" t="inlineStr">
        <is>
          <t>E0_pre</t>
        </is>
      </c>
      <c r="E6" s="8" t="inlineStr">
        <is>
          <t>global</t>
        </is>
      </c>
      <c r="F6" s="8" t="inlineStr">
        <is>
          <t>all(consuntivo[v][Y0] is not None for v in driver_voices)</t>
        </is>
      </c>
      <c r="G6" s="8" t="inlineStr">
        <is>
          <t>halt_execution</t>
        </is>
      </c>
      <c r="H6" s="8" t="inlineStr">
        <is>
          <t>Y0 actual è anchor obbligatorio</t>
        </is>
      </c>
    </row>
    <row r="7">
      <c r="A7" s="9" t="inlineStr">
        <is>
          <t>DI_003_required_drivers_industrial</t>
        </is>
      </c>
      <c r="B7" s="6" t="inlineStr">
        <is>
          <t>data_integrity</t>
        </is>
      </c>
      <c r="C7" s="22" t="inlineStr">
        <is>
          <t>block</t>
        </is>
      </c>
      <c r="D7" s="6" t="inlineStr">
        <is>
          <t>E0_pre</t>
        </is>
      </c>
      <c r="E7" s="6" t="inlineStr">
        <is>
          <t>per_method</t>
        </is>
      </c>
      <c r="F7" s="6" t="inlineStr">
        <is>
          <t>all(driver_data[d] presente per ogni driver richiesto dal metodo)</t>
        </is>
      </c>
      <c r="G7" s="6" t="inlineStr">
        <is>
          <t>use_fallback o halt</t>
        </is>
      </c>
      <c r="H7" s="6" t="inlineStr">
        <is>
          <t>Driver TIER 3+ richiesti</t>
        </is>
      </c>
    </row>
    <row r="8">
      <c r="A8" s="10" t="inlineStr">
        <is>
          <t>DI_004_required_exogenous_present</t>
        </is>
      </c>
      <c r="B8" s="8" t="inlineStr">
        <is>
          <t>data_integrity</t>
        </is>
      </c>
      <c r="C8" s="22" t="inlineStr">
        <is>
          <t>block</t>
        </is>
      </c>
      <c r="D8" s="8" t="inlineStr">
        <is>
          <t>E0_pre</t>
        </is>
      </c>
      <c r="E8" s="8" t="inlineStr">
        <is>
          <t>per_method</t>
        </is>
      </c>
      <c r="F8" s="8" t="inlineStr">
        <is>
          <t>all(exogenous[p] present per ogni metodo che li richiede)</t>
        </is>
      </c>
      <c r="G8" s="8" t="inlineStr">
        <is>
          <t>halt o default</t>
        </is>
      </c>
      <c r="H8" s="8" t="inlineStr">
        <is>
          <t>Macro CPI per inflation_indexed</t>
        </is>
      </c>
    </row>
    <row r="9">
      <c r="A9" s="9" t="inlineStr">
        <is>
          <t>DI_005_kpi_calculable</t>
        </is>
      </c>
      <c r="B9" s="6" t="inlineStr">
        <is>
          <t>data_integrity</t>
        </is>
      </c>
      <c r="C9" s="22" t="inlineStr">
        <is>
          <t>block</t>
        </is>
      </c>
      <c r="D9" s="6" t="inlineStr">
        <is>
          <t>E0_post</t>
        </is>
      </c>
      <c r="E9" s="6" t="inlineStr">
        <is>
          <t>per_kpi</t>
        </is>
      </c>
      <c r="F9" s="6" t="inlineStr">
        <is>
          <t>numerator_value AND denominator_value AND denominator != 0</t>
        </is>
      </c>
      <c r="G9" s="6" t="inlineStr">
        <is>
          <t>use_fallback (KPI = N/A)</t>
        </is>
      </c>
      <c r="H9" s="6" t="inlineStr">
        <is>
          <t>Per KPI usati come default</t>
        </is>
      </c>
    </row>
    <row r="10">
      <c r="A10" s="10" t="inlineStr">
        <is>
          <t>DI_006_assumption_default_filled</t>
        </is>
      </c>
      <c r="B10" s="8" t="inlineStr">
        <is>
          <t>data_integrity</t>
        </is>
      </c>
      <c r="C10" s="22" t="inlineStr">
        <is>
          <t>block</t>
        </is>
      </c>
      <c r="D10" s="8" t="inlineStr">
        <is>
          <t>E0_post</t>
        </is>
      </c>
      <c r="E10" s="8" t="inlineStr">
        <is>
          <t>per_assumption</t>
        </is>
      </c>
      <c r="F10" s="8" t="inlineStr">
        <is>
          <t>assumption.value is not None for all years Y1-Y3</t>
        </is>
      </c>
      <c r="G10" s="8" t="inlineStr">
        <is>
          <t>use_fallback (= 0 + warning)</t>
        </is>
      </c>
      <c r="H10" s="8" t="inlineStr"/>
    </row>
    <row r="11">
      <c r="A11" s="9" t="inlineStr">
        <is>
          <t>DI_007_method_inputs_complete</t>
        </is>
      </c>
      <c r="B11" s="6" t="inlineStr">
        <is>
          <t>data_integrity</t>
        </is>
      </c>
      <c r="C11" s="22" t="inlineStr">
        <is>
          <t>block</t>
        </is>
      </c>
      <c r="D11" s="6" t="inlineStr">
        <is>
          <t>E0_post</t>
        </is>
      </c>
      <c r="E11" s="6" t="inlineStr">
        <is>
          <t>per_method</t>
        </is>
      </c>
      <c r="F11" s="6" t="inlineStr">
        <is>
          <t>all(method.inputs are resolvable)</t>
        </is>
      </c>
      <c r="G11" s="6" t="inlineStr">
        <is>
          <t>halt</t>
        </is>
      </c>
      <c r="H11" s="6" t="inlineStr"/>
    </row>
    <row r="12">
      <c r="A12" s="10" t="inlineStr">
        <is>
          <t>DI_008_voice_method_compatibility</t>
        </is>
      </c>
      <c r="B12" s="8" t="inlineStr">
        <is>
          <t>data_integrity</t>
        </is>
      </c>
      <c r="C12" s="22" t="inlineStr">
        <is>
          <t>block</t>
        </is>
      </c>
      <c r="D12" s="8" t="inlineStr">
        <is>
          <t>E0_post</t>
        </is>
      </c>
      <c r="E12" s="8" t="inlineStr">
        <is>
          <t>per_voice</t>
        </is>
      </c>
      <c r="F12" s="8" t="inlineStr">
        <is>
          <t>voice.default_method in voice.allowed_methods</t>
        </is>
      </c>
      <c r="G12" s="8" t="inlineStr">
        <is>
          <t>halt</t>
        </is>
      </c>
      <c r="H12" s="8" t="inlineStr"/>
    </row>
    <row r="13">
      <c r="A13" s="9" t="inlineStr">
        <is>
          <t>DI_009_no_orphan_references</t>
        </is>
      </c>
      <c r="B13" s="6" t="inlineStr">
        <is>
          <t>data_integrity</t>
        </is>
      </c>
      <c r="C13" s="22" t="inlineStr">
        <is>
          <t>block</t>
        </is>
      </c>
      <c r="D13" s="6" t="inlineStr">
        <is>
          <t>E0_post</t>
        </is>
      </c>
      <c r="E13" s="6" t="inlineStr">
        <is>
          <t>global</t>
        </is>
      </c>
      <c r="F13" s="6" t="inlineStr">
        <is>
          <t>for each method.inputs.consuntivo, target voice exists in voice_registry</t>
        </is>
      </c>
      <c r="G13" s="6" t="inlineStr">
        <is>
          <t>halt</t>
        </is>
      </c>
      <c r="H13" s="6" t="inlineStr">
        <is>
          <t>Chiusura P38 Fase 1</t>
        </is>
      </c>
    </row>
    <row r="14">
      <c r="A14" s="10" t="inlineStr">
        <is>
          <t>DI_010_no_orphan_kpi_references</t>
        </is>
      </c>
      <c r="B14" s="8" t="inlineStr">
        <is>
          <t>data_integrity</t>
        </is>
      </c>
      <c r="C14" s="22" t="inlineStr">
        <is>
          <t>block</t>
        </is>
      </c>
      <c r="D14" s="8" t="inlineStr">
        <is>
          <t>E0_post</t>
        </is>
      </c>
      <c r="E14" s="8" t="inlineStr">
        <is>
          <t>global</t>
        </is>
      </c>
      <c r="F14" s="8" t="inlineStr">
        <is>
          <t>for each method.default_kpi_id, kpi exists in kpi_registry</t>
        </is>
      </c>
      <c r="G14" s="8" t="inlineStr">
        <is>
          <t>halt</t>
        </is>
      </c>
      <c r="H14" s="8" t="inlineStr">
        <is>
          <t>Chiusura P38 Fase 1</t>
        </is>
      </c>
    </row>
    <row r="15">
      <c r="A15" s="9" t="inlineStr">
        <is>
          <t>DI_011_actual_consuntivo_signed_consistent</t>
        </is>
      </c>
      <c r="B15" s="6" t="inlineStr">
        <is>
          <t>data_integrity</t>
        </is>
      </c>
      <c r="C15" s="22" t="inlineStr">
        <is>
          <t>block</t>
        </is>
      </c>
      <c r="D15" s="6" t="inlineStr">
        <is>
          <t>E0_pre</t>
        </is>
      </c>
      <c r="E15" s="6" t="inlineStr">
        <is>
          <t>per_voice</t>
        </is>
      </c>
      <c r="F15" s="6" t="inlineStr">
        <is>
          <t>sign(consuntivo[v][year]) matches voice.sign_convention</t>
        </is>
      </c>
      <c r="G15" s="6" t="inlineStr">
        <is>
          <t>halt</t>
        </is>
      </c>
      <c r="H15" s="6" t="inlineStr">
        <is>
          <t>Costi devono essere negativi nello storico</t>
        </is>
      </c>
    </row>
    <row r="16">
      <c r="A16" s="10" t="inlineStr">
        <is>
          <t>DI_012_subtotal_consistency_historical</t>
        </is>
      </c>
      <c r="B16" s="8" t="inlineStr">
        <is>
          <t>data_integrity</t>
        </is>
      </c>
      <c r="C16" s="22" t="inlineStr">
        <is>
          <t>block</t>
        </is>
      </c>
      <c r="D16" s="8" t="inlineStr">
        <is>
          <t>E0_post</t>
        </is>
      </c>
      <c r="E16" s="8" t="inlineStr">
        <is>
          <t>global</t>
        </is>
      </c>
      <c r="F16" s="8" t="inlineStr">
        <is>
          <t>for each subtotal voice, calculated == stored (tol 0.5%)</t>
        </is>
      </c>
      <c r="G16" s="8" t="inlineStr">
        <is>
          <t>log_and_continue</t>
        </is>
      </c>
      <c r="H16" s="8" t="inlineStr">
        <is>
          <t>Verifica integrità storica</t>
        </is>
      </c>
    </row>
    <row r="17">
      <c r="A17" s="9" t="inlineStr">
        <is>
          <t>DI_013_balance_check_historical</t>
        </is>
      </c>
      <c r="B17" s="6" t="inlineStr">
        <is>
          <t>data_integrity</t>
        </is>
      </c>
      <c r="C17" s="22" t="inlineStr">
        <is>
          <t>block</t>
        </is>
      </c>
      <c r="D17" s="6" t="inlineStr">
        <is>
          <t>E0_post</t>
        </is>
      </c>
      <c r="E17" s="6" t="inlineStr">
        <is>
          <t>per_year</t>
        </is>
      </c>
      <c r="F17" s="6" t="inlineStr">
        <is>
          <t>abs(bs.balance_check[year]) &lt;= max(1.0, 0.0001*total_assets)</t>
        </is>
      </c>
      <c r="G17" s="6" t="inlineStr">
        <is>
          <t>halt se Y0; warning altrimenti</t>
        </is>
      </c>
      <c r="H17" s="6" t="inlineStr">
        <is>
          <t>Critico: storico deve quadrare</t>
        </is>
      </c>
    </row>
    <row r="18">
      <c r="A18" s="10" t="inlineStr">
        <is>
          <t>DI_014_sector_pack_compatibility</t>
        </is>
      </c>
      <c r="B18" s="8" t="inlineStr">
        <is>
          <t>data_integrity</t>
        </is>
      </c>
      <c r="C18" s="22" t="inlineStr">
        <is>
          <t>block</t>
        </is>
      </c>
      <c r="D18" s="8" t="inlineStr">
        <is>
          <t>E0_post</t>
        </is>
      </c>
      <c r="E18" s="8" t="inlineStr">
        <is>
          <t>global</t>
        </is>
      </c>
      <c r="F18" s="8" t="inlineStr">
        <is>
          <t>selected sector_pack registered AND required voices populated</t>
        </is>
      </c>
      <c r="G18" s="8" t="inlineStr">
        <is>
          <t>halt</t>
        </is>
      </c>
      <c r="H18" s="8" t="inlineStr"/>
    </row>
    <row r="19">
      <c r="A19" s="9" t="inlineStr">
        <is>
          <t>AI_001_balance_check_projected</t>
        </is>
      </c>
      <c r="B19" s="6" t="inlineStr">
        <is>
          <t>accounting_identity</t>
        </is>
      </c>
      <c r="C19" s="23" t="inlineStr">
        <is>
          <t>error</t>
        </is>
      </c>
      <c r="D19" s="6" t="inlineStr">
        <is>
          <t>E8_post</t>
        </is>
      </c>
      <c r="E19" s="6" t="inlineStr">
        <is>
          <t>per_year</t>
        </is>
      </c>
      <c r="F19" s="6" t="inlineStr">
        <is>
          <t>abs(bs.balance_check[year]) &lt;= max(1.0, 0.0001*abs(total_assets))</t>
        </is>
      </c>
      <c r="G19" s="6" t="inlineStr">
        <is>
          <t>log_and_continue (CRITICAL)</t>
        </is>
      </c>
      <c r="H19" s="6" t="inlineStr">
        <is>
          <t>Quadratura proiezioni</t>
        </is>
      </c>
    </row>
    <row r="20">
      <c r="A20" s="10" t="inlineStr">
        <is>
          <t>AI_002_cash_identity</t>
        </is>
      </c>
      <c r="B20" s="8" t="inlineStr">
        <is>
          <t>accounting_identity</t>
        </is>
      </c>
      <c r="C20" s="23" t="inlineStr">
        <is>
          <t>error</t>
        </is>
      </c>
      <c r="D20" s="8" t="inlineStr">
        <is>
          <t>E8_post</t>
        </is>
      </c>
      <c r="E20" s="8" t="inlineStr">
        <is>
          <t>per_year</t>
        </is>
      </c>
      <c r="F20" s="8" t="inlineStr">
        <is>
          <t>bs.nfp.cash[year] == cash[year-1] + cf.net_change_cash[year]</t>
        </is>
      </c>
      <c r="G20" s="8" t="inlineStr">
        <is>
          <t>log_and_continue</t>
        </is>
      </c>
      <c r="H20" s="8" t="inlineStr">
        <is>
          <t>Tol 0.01</t>
        </is>
      </c>
    </row>
    <row r="21">
      <c r="A21" s="9" t="inlineStr">
        <is>
          <t>AI_003_retained_earnings_identity</t>
        </is>
      </c>
      <c r="B21" s="6" t="inlineStr">
        <is>
          <t>accounting_identity</t>
        </is>
      </c>
      <c r="C21" s="23" t="inlineStr">
        <is>
          <t>error</t>
        </is>
      </c>
      <c r="D21" s="6" t="inlineStr">
        <is>
          <t>E7_post</t>
        </is>
      </c>
      <c r="E21" s="6" t="inlineStr">
        <is>
          <t>per_year</t>
        </is>
      </c>
      <c r="F21" s="6" t="inlineStr">
        <is>
          <t>RE.close == RE_open + pl.net_income + dividends_paid</t>
        </is>
      </c>
      <c r="G21" s="6" t="inlineStr">
        <is>
          <t>log_and_continue</t>
        </is>
      </c>
      <c r="H21" s="6" t="inlineStr"/>
    </row>
    <row r="22">
      <c r="A22" s="10" t="inlineStr">
        <is>
          <t>AI_004_rou_lease_liability_initial_match</t>
        </is>
      </c>
      <c r="B22" s="8" t="inlineStr">
        <is>
          <t>accounting_identity</t>
        </is>
      </c>
      <c r="C22" s="23" t="inlineStr">
        <is>
          <t>error</t>
        </is>
      </c>
      <c r="D22" s="8" t="inlineStr">
        <is>
          <t>E4_post</t>
        </is>
      </c>
      <c r="E22" s="8" t="inlineStr">
        <is>
          <t>per_year</t>
        </is>
      </c>
      <c r="F22" s="8" t="inlineStr">
        <is>
          <t>bs.fa.rou.new_contracts == -bs.nfp.lease_liability.new_contracts</t>
        </is>
      </c>
      <c r="G22" s="8" t="inlineStr">
        <is>
          <t>log_and_continue</t>
        </is>
      </c>
      <c r="H22" s="8" t="inlineStr">
        <is>
          <t>P22 Fase 1</t>
        </is>
      </c>
    </row>
    <row r="23">
      <c r="A23" s="9" t="inlineStr">
        <is>
          <t>AI_005_subtotal_consistency_projected</t>
        </is>
      </c>
      <c r="B23" s="6" t="inlineStr">
        <is>
          <t>accounting_identity</t>
        </is>
      </c>
      <c r="C23" s="23" t="inlineStr">
        <is>
          <t>error</t>
        </is>
      </c>
      <c r="D23" s="6" t="inlineStr">
        <is>
          <t>E8_post</t>
        </is>
      </c>
      <c r="E23" s="6" t="inlineStr">
        <is>
          <t>per_year</t>
        </is>
      </c>
      <c r="F23" s="6" t="inlineStr">
        <is>
          <t>for each subtotal, calculated == SUM(components)</t>
        </is>
      </c>
      <c r="G23" s="6" t="inlineStr">
        <is>
          <t>log_and_continue</t>
        </is>
      </c>
      <c r="H23" s="6" t="inlineStr"/>
    </row>
    <row r="24">
      <c r="A24" s="10" t="inlineStr">
        <is>
          <t>AI_006_pl_chain_consistency</t>
        </is>
      </c>
      <c r="B24" s="8" t="inlineStr">
        <is>
          <t>accounting_identity</t>
        </is>
      </c>
      <c r="C24" s="23" t="inlineStr">
        <is>
          <t>error</t>
        </is>
      </c>
      <c r="D24" s="8" t="inlineStr">
        <is>
          <t>E7_post</t>
        </is>
      </c>
      <c r="E24" s="8" t="inlineStr">
        <is>
          <t>per_year</t>
        </is>
      </c>
      <c r="F24" s="8" t="inlineStr">
        <is>
          <t>pl.net_income == pl.ebt + pl.tax.total</t>
        </is>
      </c>
      <c r="G24" s="8" t="inlineStr">
        <is>
          <t>log_and_continue</t>
        </is>
      </c>
      <c r="H24" s="8" t="inlineStr"/>
    </row>
    <row r="25">
      <c r="A25" s="9" t="inlineStr">
        <is>
          <t>AI_007_ebitda_definition</t>
        </is>
      </c>
      <c r="B25" s="6" t="inlineStr">
        <is>
          <t>accounting_identity</t>
        </is>
      </c>
      <c r="C25" s="23" t="inlineStr">
        <is>
          <t>error</t>
        </is>
      </c>
      <c r="D25" s="6" t="inlineStr">
        <is>
          <t>E3_post</t>
        </is>
      </c>
      <c r="E25" s="6" t="inlineStr">
        <is>
          <t>per_year</t>
        </is>
      </c>
      <c r="F25" s="6" t="inlineStr">
        <is>
          <t>pl.ebitda == pl.gross_profit + pl.opex.total + pl.provisions.total</t>
        </is>
      </c>
      <c r="G25" s="6" t="inlineStr">
        <is>
          <t>log_and_continue</t>
        </is>
      </c>
      <c r="H25" s="6" t="inlineStr"/>
    </row>
    <row r="26">
      <c r="A26" s="10" t="inlineStr">
        <is>
          <t>AI_008_ebit_definition</t>
        </is>
      </c>
      <c r="B26" s="8" t="inlineStr">
        <is>
          <t>accounting_identity</t>
        </is>
      </c>
      <c r="C26" s="23" t="inlineStr">
        <is>
          <t>error</t>
        </is>
      </c>
      <c r="D26" s="8" t="inlineStr">
        <is>
          <t>E7_post</t>
        </is>
      </c>
      <c r="E26" s="8" t="inlineStr">
        <is>
          <t>per_year</t>
        </is>
      </c>
      <c r="F26" s="8" t="inlineStr">
        <is>
          <t>pl.ebit == pl.ebitda + pl.da.total + pl.impairment.total</t>
        </is>
      </c>
      <c r="G26" s="8" t="inlineStr">
        <is>
          <t>log_and_continue</t>
        </is>
      </c>
      <c r="H26" s="8" t="inlineStr"/>
    </row>
    <row r="27">
      <c r="A27" s="9" t="inlineStr">
        <is>
          <t>AI_009_provisions_balance_consistency</t>
        </is>
      </c>
      <c r="B27" s="6" t="inlineStr">
        <is>
          <t>accounting_identity</t>
        </is>
      </c>
      <c r="C27" s="23" t="inlineStr">
        <is>
          <t>error</t>
        </is>
      </c>
      <c r="D27" s="6" t="inlineStr">
        <is>
          <t>E5_post</t>
        </is>
      </c>
      <c r="E27" s="6" t="inlineStr">
        <is>
          <t>per_year</t>
        </is>
      </c>
      <c r="F27" s="6" t="inlineStr">
        <is>
          <t>for each provision: balance_close == balance_open + accrual + usage</t>
        </is>
      </c>
      <c r="G27" s="6" t="inlineStr">
        <is>
          <t>log_and_continue</t>
        </is>
      </c>
      <c r="H27" s="6" t="inlineStr"/>
    </row>
    <row r="28">
      <c r="A28" s="10" t="inlineStr">
        <is>
          <t>AI_010_employee_benefits_balance_consistency</t>
        </is>
      </c>
      <c r="B28" s="8" t="inlineStr">
        <is>
          <t>accounting_identity</t>
        </is>
      </c>
      <c r="C28" s="23" t="inlineStr">
        <is>
          <t>error</t>
        </is>
      </c>
      <c r="D28" s="8" t="inlineStr">
        <is>
          <t>E5_post</t>
        </is>
      </c>
      <c r="E28" s="8" t="inlineStr">
        <is>
          <t>per_year</t>
        </is>
      </c>
      <c r="F28" s="8" t="inlineStr">
        <is>
          <t>EB.balance_close == open + service_cost + interest_cost - payments + actuarial</t>
        </is>
      </c>
      <c r="G28" s="8" t="inlineStr">
        <is>
          <t>log_and_continue</t>
        </is>
      </c>
      <c r="H28" s="8" t="inlineStr"/>
    </row>
    <row r="29">
      <c r="A29" s="9" t="inlineStr">
        <is>
          <t>AI_011_nwc_change_consistency</t>
        </is>
      </c>
      <c r="B29" s="6" t="inlineStr">
        <is>
          <t>accounting_identity</t>
        </is>
      </c>
      <c r="C29" s="23" t="inlineStr">
        <is>
          <t>error</t>
        </is>
      </c>
      <c r="D29" s="6" t="inlineStr">
        <is>
          <t>E8_post</t>
        </is>
      </c>
      <c r="E29" s="6" t="inlineStr">
        <is>
          <t>per_year</t>
        </is>
      </c>
      <c r="F29" s="6" t="inlineStr">
        <is>
          <t>cf.operating.nwc_change == -(bs.nwc.operating[t] - [t-1])</t>
        </is>
      </c>
      <c r="G29" s="6" t="inlineStr">
        <is>
          <t>log_and_continue</t>
        </is>
      </c>
      <c r="H29" s="6" t="inlineStr"/>
    </row>
    <row r="30">
      <c r="A30" s="10" t="inlineStr">
        <is>
          <t>SC_001_revenues_positive</t>
        </is>
      </c>
      <c r="B30" s="8" t="inlineStr">
        <is>
          <t>sign_consistency</t>
        </is>
      </c>
      <c r="C30" s="23" t="inlineStr">
        <is>
          <t>error</t>
        </is>
      </c>
      <c r="D30" s="8" t="inlineStr">
        <is>
          <t>E1_post</t>
        </is>
      </c>
      <c r="E30" s="8" t="inlineStr">
        <is>
          <t>per_year</t>
        </is>
      </c>
      <c r="F30" s="8" t="inlineStr">
        <is>
          <t>pl.rev.gross.{voice}[year] &gt;= 0 for all gross voices</t>
        </is>
      </c>
      <c r="G30" s="8" t="inlineStr">
        <is>
          <t>log_and_continue</t>
        </is>
      </c>
      <c r="H30" s="8" t="inlineStr"/>
    </row>
    <row r="31">
      <c r="A31" s="9" t="inlineStr">
        <is>
          <t>SC_002_costs_negative</t>
        </is>
      </c>
      <c r="B31" s="6" t="inlineStr">
        <is>
          <t>sign_consistency</t>
        </is>
      </c>
      <c r="C31" s="23" t="inlineStr">
        <is>
          <t>error</t>
        </is>
      </c>
      <c r="D31" s="6" t="inlineStr">
        <is>
          <t>E1_post</t>
        </is>
      </c>
      <c r="E31" s="6" t="inlineStr">
        <is>
          <t>per_year</t>
        </is>
      </c>
      <c r="F31" s="6" t="inlineStr">
        <is>
          <t>pl.cogs.* and pl.opex.* are &lt;= 0 (escluso wip_capitalization)</t>
        </is>
      </c>
      <c r="G31" s="6" t="inlineStr">
        <is>
          <t>log_and_continue</t>
        </is>
      </c>
      <c r="H31" s="6" t="inlineStr"/>
    </row>
    <row r="32">
      <c r="A32" s="10" t="inlineStr">
        <is>
          <t>SC_003_assets_positive</t>
        </is>
      </c>
      <c r="B32" s="8" t="inlineStr">
        <is>
          <t>sign_consistency</t>
        </is>
      </c>
      <c r="C32" s="23" t="inlineStr">
        <is>
          <t>error</t>
        </is>
      </c>
      <c r="D32" s="8" t="inlineStr">
        <is>
          <t>E2/E3_post</t>
        </is>
      </c>
      <c r="E32" s="8" t="inlineStr">
        <is>
          <t>per_year</t>
        </is>
      </c>
      <c r="F32" s="8" t="inlineStr">
        <is>
          <t>bs.fa.*.net_close &gt;= 0 AND NWC asset voices &gt;= 0</t>
        </is>
      </c>
      <c r="G32" s="8" t="inlineStr">
        <is>
          <t>log_and_continue</t>
        </is>
      </c>
      <c r="H32" s="8" t="inlineStr"/>
    </row>
    <row r="33">
      <c r="A33" s="9" t="inlineStr">
        <is>
          <t>SC_004_liabilities_negative</t>
        </is>
      </c>
      <c r="B33" s="6" t="inlineStr">
        <is>
          <t>sign_consistency</t>
        </is>
      </c>
      <c r="C33" s="23" t="inlineStr">
        <is>
          <t>error</t>
        </is>
      </c>
      <c r="D33" s="6" t="inlineStr">
        <is>
          <t>E3/E4_post</t>
        </is>
      </c>
      <c r="E33" s="6" t="inlineStr">
        <is>
          <t>per_year</t>
        </is>
      </c>
      <c r="F33" s="6" t="inlineStr">
        <is>
          <t>bs.nwc.ap.trade &lt;= 0 AND borrowings &lt;= 0 AND lease_liability &lt;= 0 AND provisions &lt;= 0 AND EB &lt;= 0 AND DTL &lt;= 0</t>
        </is>
      </c>
      <c r="G33" s="6" t="inlineStr">
        <is>
          <t>log_and_continue</t>
        </is>
      </c>
      <c r="H33" s="6" t="inlineStr"/>
    </row>
    <row r="34">
      <c r="A34" s="10" t="inlineStr">
        <is>
          <t>SC_005_equity_components</t>
        </is>
      </c>
      <c r="B34" s="8" t="inlineStr">
        <is>
          <t>sign_consistency</t>
        </is>
      </c>
      <c r="C34" s="23" t="inlineStr">
        <is>
          <t>error</t>
        </is>
      </c>
      <c r="D34" s="8" t="inlineStr">
        <is>
          <t>E7_post</t>
        </is>
      </c>
      <c r="E34" s="8" t="inlineStr">
        <is>
          <t>per_year</t>
        </is>
      </c>
      <c r="F34" s="8" t="inlineStr">
        <is>
          <t>share_capital &gt;= 0; RE may be ±; total_close consistency</t>
        </is>
      </c>
      <c r="G34" s="8" t="inlineStr">
        <is>
          <t>log_and_continue</t>
        </is>
      </c>
      <c r="H34" s="8" t="inlineStr"/>
    </row>
    <row r="35">
      <c r="A35" s="9" t="inlineStr">
        <is>
          <t>SC_006_cash_positive</t>
        </is>
      </c>
      <c r="B35" s="6" t="inlineStr">
        <is>
          <t>sign_consistency</t>
        </is>
      </c>
      <c r="C35" s="23" t="inlineStr">
        <is>
          <t>error</t>
        </is>
      </c>
      <c r="D35" s="6" t="inlineStr">
        <is>
          <t>E8_post</t>
        </is>
      </c>
      <c r="E35" s="6" t="inlineStr">
        <is>
          <t>per_year</t>
        </is>
      </c>
      <c r="F35" s="6" t="inlineStr">
        <is>
          <t>bs.nfp.cash[year] &gt;= 0 (overdraft → reclassify in RCF)</t>
        </is>
      </c>
      <c r="G35" s="6" t="inlineStr">
        <is>
          <t>log_and_continue</t>
        </is>
      </c>
      <c r="H35" s="6" t="inlineStr"/>
    </row>
    <row r="36">
      <c r="A36" s="10" t="inlineStr">
        <is>
          <t>SC_007_da_negative</t>
        </is>
      </c>
      <c r="B36" s="8" t="inlineStr">
        <is>
          <t>sign_consistency</t>
        </is>
      </c>
      <c r="C36" s="23" t="inlineStr">
        <is>
          <t>error</t>
        </is>
      </c>
      <c r="D36" s="8" t="inlineStr">
        <is>
          <t>E2_post</t>
        </is>
      </c>
      <c r="E36" s="8" t="inlineStr">
        <is>
          <t>per_year</t>
        </is>
      </c>
      <c r="F36" s="8" t="inlineStr">
        <is>
          <t>pl.da.ppe/intangibles/rou &lt;= 0</t>
        </is>
      </c>
      <c r="G36" s="8" t="inlineStr">
        <is>
          <t>log_and_continue</t>
        </is>
      </c>
      <c r="H36" s="8" t="inlineStr"/>
    </row>
    <row r="37">
      <c r="A37" s="9" t="inlineStr">
        <is>
          <t>SC_008_interest_expense_negative</t>
        </is>
      </c>
      <c r="B37" s="6" t="inlineStr">
        <is>
          <t>sign_consistency</t>
        </is>
      </c>
      <c r="C37" s="23" t="inlineStr">
        <is>
          <t>error</t>
        </is>
      </c>
      <c r="D37" s="6" t="inlineStr">
        <is>
          <t>E4_post</t>
        </is>
      </c>
      <c r="E37" s="6" t="inlineStr">
        <is>
          <t>per_year</t>
        </is>
      </c>
      <c r="F37" s="6" t="inlineStr">
        <is>
          <t>pl.financial.interest_expense &lt;= 0 AND lease_interest &lt;= 0</t>
        </is>
      </c>
      <c r="G37" s="6" t="inlineStr">
        <is>
          <t>log_and_continue</t>
        </is>
      </c>
      <c r="H37" s="6" t="inlineStr"/>
    </row>
    <row r="38">
      <c r="A38" s="10" t="inlineStr">
        <is>
          <t>SC_009_dividends_negative</t>
        </is>
      </c>
      <c r="B38" s="8" t="inlineStr">
        <is>
          <t>sign_consistency</t>
        </is>
      </c>
      <c r="C38" s="23" t="inlineStr">
        <is>
          <t>error</t>
        </is>
      </c>
      <c r="D38" s="8" t="inlineStr">
        <is>
          <t>E6_post</t>
        </is>
      </c>
      <c r="E38" s="8" t="inlineStr">
        <is>
          <t>per_year</t>
        </is>
      </c>
      <c r="F38" s="8" t="inlineStr">
        <is>
          <t>bs.equity.capital.dividends_paid &lt;= 0 (riduce equity)</t>
        </is>
      </c>
      <c r="G38" s="8" t="inlineStr">
        <is>
          <t>log_and_continue</t>
        </is>
      </c>
      <c r="H38" s="8" t="inlineStr">
        <is>
          <t>Sign convention IFRS</t>
        </is>
      </c>
    </row>
    <row r="39">
      <c r="A39" s="9" t="inlineStr">
        <is>
          <t>RP_001_revenue_growth_plausible</t>
        </is>
      </c>
      <c r="B39" s="6" t="inlineStr">
        <is>
          <t>range_plausibility</t>
        </is>
      </c>
      <c r="C39" s="24" t="inlineStr">
        <is>
          <t>warning</t>
        </is>
      </c>
      <c r="D39" s="6" t="inlineStr">
        <is>
          <t>E8_post</t>
        </is>
      </c>
      <c r="E39" s="6" t="inlineStr">
        <is>
          <t>per_year</t>
        </is>
      </c>
      <c r="F39" s="6" t="inlineStr">
        <is>
          <t>-50% &lt;= kpi.growth.revenue_yoy[year] &lt;= +200%</t>
        </is>
      </c>
      <c r="G39" s="6" t="inlineStr">
        <is>
          <t>log_warning</t>
        </is>
      </c>
      <c r="H39" s="6" t="inlineStr"/>
    </row>
    <row r="40">
      <c r="A40" s="10" t="inlineStr">
        <is>
          <t>RP_002_gross_margin_plausible</t>
        </is>
      </c>
      <c r="B40" s="8" t="inlineStr">
        <is>
          <t>range_plausibility</t>
        </is>
      </c>
      <c r="C40" s="24" t="inlineStr">
        <is>
          <t>warning</t>
        </is>
      </c>
      <c r="D40" s="8" t="inlineStr">
        <is>
          <t>E7_post</t>
        </is>
      </c>
      <c r="E40" s="8" t="inlineStr">
        <is>
          <t>per_year</t>
        </is>
      </c>
      <c r="F40" s="8" t="inlineStr">
        <is>
          <t>-100% &lt;= kpi.margin.gross[year] &lt;= +95%</t>
        </is>
      </c>
      <c r="G40" s="8" t="inlineStr">
        <is>
          <t>log_warning</t>
        </is>
      </c>
      <c r="H40" s="8" t="inlineStr"/>
    </row>
    <row r="41">
      <c r="A41" s="9" t="inlineStr">
        <is>
          <t>RP_003_ebitda_margin_plausible</t>
        </is>
      </c>
      <c r="B41" s="6" t="inlineStr">
        <is>
          <t>range_plausibility</t>
        </is>
      </c>
      <c r="C41" s="24" t="inlineStr">
        <is>
          <t>warning</t>
        </is>
      </c>
      <c r="D41" s="6" t="inlineStr">
        <is>
          <t>E7_post</t>
        </is>
      </c>
      <c r="E41" s="6" t="inlineStr">
        <is>
          <t>per_year</t>
        </is>
      </c>
      <c r="F41" s="6" t="inlineStr">
        <is>
          <t>-100% &lt;= kpi.margin.ebitda[year] &lt;= +60%</t>
        </is>
      </c>
      <c r="G41" s="6" t="inlineStr">
        <is>
          <t>log_warning</t>
        </is>
      </c>
      <c r="H41" s="6" t="inlineStr"/>
    </row>
    <row r="42">
      <c r="A42" s="10" t="inlineStr">
        <is>
          <t>RP_004_dso_plausible</t>
        </is>
      </c>
      <c r="B42" s="8" t="inlineStr">
        <is>
          <t>range_plausibility</t>
        </is>
      </c>
      <c r="C42" s="24" t="inlineStr">
        <is>
          <t>warning</t>
        </is>
      </c>
      <c r="D42" s="8" t="inlineStr">
        <is>
          <t>E8_post</t>
        </is>
      </c>
      <c r="E42" s="8" t="inlineStr">
        <is>
          <t>per_year</t>
        </is>
      </c>
      <c r="F42" s="8" t="inlineStr">
        <is>
          <t>0 &lt;= kpi.nwc.dso[year] &lt;= 365</t>
        </is>
      </c>
      <c r="G42" s="8" t="inlineStr">
        <is>
          <t>log_warning</t>
        </is>
      </c>
      <c r="H42" s="8" t="inlineStr"/>
    </row>
    <row r="43">
      <c r="A43" s="9" t="inlineStr">
        <is>
          <t>RP_005_dio_plausible</t>
        </is>
      </c>
      <c r="B43" s="6" t="inlineStr">
        <is>
          <t>range_plausibility</t>
        </is>
      </c>
      <c r="C43" s="24" t="inlineStr">
        <is>
          <t>warning</t>
        </is>
      </c>
      <c r="D43" s="6" t="inlineStr">
        <is>
          <t>E8_post</t>
        </is>
      </c>
      <c r="E43" s="6" t="inlineStr">
        <is>
          <t>per_year</t>
        </is>
      </c>
      <c r="F43" s="6" t="inlineStr">
        <is>
          <t>0 &lt;= kpi.nwc.dio_total[year] &lt;= 730</t>
        </is>
      </c>
      <c r="G43" s="6" t="inlineStr">
        <is>
          <t>log_warning</t>
        </is>
      </c>
      <c r="H43" s="6" t="inlineStr"/>
    </row>
    <row r="44">
      <c r="A44" s="10" t="inlineStr">
        <is>
          <t>RP_006_dpo_plausible</t>
        </is>
      </c>
      <c r="B44" s="8" t="inlineStr">
        <is>
          <t>range_plausibility</t>
        </is>
      </c>
      <c r="C44" s="24" t="inlineStr">
        <is>
          <t>warning</t>
        </is>
      </c>
      <c r="D44" s="8" t="inlineStr">
        <is>
          <t>E8_post</t>
        </is>
      </c>
      <c r="E44" s="8" t="inlineStr">
        <is>
          <t>per_year</t>
        </is>
      </c>
      <c r="F44" s="8" t="inlineStr">
        <is>
          <t>0 &lt;= kpi.nwc.dpo[year] &lt;= 365</t>
        </is>
      </c>
      <c r="G44" s="8" t="inlineStr">
        <is>
          <t>log_warning</t>
        </is>
      </c>
      <c r="H44" s="8" t="inlineStr"/>
    </row>
    <row r="45">
      <c r="A45" s="9" t="inlineStr">
        <is>
          <t>RP_007_ccc_plausible</t>
        </is>
      </c>
      <c r="B45" s="6" t="inlineStr">
        <is>
          <t>range_plausibility</t>
        </is>
      </c>
      <c r="C45" s="24" t="inlineStr">
        <is>
          <t>warning</t>
        </is>
      </c>
      <c r="D45" s="6" t="inlineStr">
        <is>
          <t>E8_post</t>
        </is>
      </c>
      <c r="E45" s="6" t="inlineStr">
        <is>
          <t>per_year</t>
        </is>
      </c>
      <c r="F45" s="6" t="inlineStr">
        <is>
          <t>-180 &lt;= kpi.nwc.ccc[year] &lt;= 365</t>
        </is>
      </c>
      <c r="G45" s="6" t="inlineStr">
        <is>
          <t>log_warning</t>
        </is>
      </c>
      <c r="H45" s="6" t="inlineStr"/>
    </row>
    <row r="46">
      <c r="A46" s="10" t="inlineStr">
        <is>
          <t>RP_008_capex_intensity_plausible</t>
        </is>
      </c>
      <c r="B46" s="8" t="inlineStr">
        <is>
          <t>range_plausibility</t>
        </is>
      </c>
      <c r="C46" s="24" t="inlineStr">
        <is>
          <t>warning</t>
        </is>
      </c>
      <c r="D46" s="8" t="inlineStr">
        <is>
          <t>E8_post</t>
        </is>
      </c>
      <c r="E46" s="8" t="inlineStr">
        <is>
          <t>per_year</t>
        </is>
      </c>
      <c r="F46" s="8" t="inlineStr">
        <is>
          <t>0% &lt;= kpi.fa.capex_intensity_total[year] &lt;= 50%</t>
        </is>
      </c>
      <c r="G46" s="8" t="inlineStr">
        <is>
          <t>log_warning</t>
        </is>
      </c>
      <c r="H46" s="8" t="inlineStr"/>
    </row>
    <row r="47">
      <c r="A47" s="9" t="inlineStr">
        <is>
          <t>RP_009_capex_to_da_plausible</t>
        </is>
      </c>
      <c r="B47" s="6" t="inlineStr">
        <is>
          <t>range_plausibility</t>
        </is>
      </c>
      <c r="C47" s="24" t="inlineStr">
        <is>
          <t>warning</t>
        </is>
      </c>
      <c r="D47" s="6" t="inlineStr">
        <is>
          <t>E8_post</t>
        </is>
      </c>
      <c r="E47" s="6" t="inlineStr">
        <is>
          <t>per_year</t>
        </is>
      </c>
      <c r="F47" s="6" t="inlineStr">
        <is>
          <t>0 &lt;= kpi.fa.capex_to_da_ratio[year] &lt;= 5</t>
        </is>
      </c>
      <c r="G47" s="6" t="inlineStr">
        <is>
          <t>log_warning</t>
        </is>
      </c>
      <c r="H47" s="6" t="inlineStr"/>
    </row>
    <row r="48">
      <c r="A48" s="10" t="inlineStr">
        <is>
          <t>RP_010_useful_life_implied_plausible</t>
        </is>
      </c>
      <c r="B48" s="8" t="inlineStr">
        <is>
          <t>range_plausibility</t>
        </is>
      </c>
      <c r="C48" s="24" t="inlineStr">
        <is>
          <t>warning</t>
        </is>
      </c>
      <c r="D48" s="8" t="inlineStr">
        <is>
          <t>E8_post</t>
        </is>
      </c>
      <c r="E48" s="8" t="inlineStr">
        <is>
          <t>per_year</t>
        </is>
      </c>
      <c r="F48" s="8" t="inlineStr">
        <is>
          <t>1 &lt;= kpi.fa.useful_life_implied_ppe &lt;= 50</t>
        </is>
      </c>
      <c r="G48" s="8" t="inlineStr">
        <is>
          <t>log_warning</t>
        </is>
      </c>
      <c r="H48" s="8" t="inlineStr"/>
    </row>
    <row r="49">
      <c r="A49" s="9" t="inlineStr">
        <is>
          <t>RP_011_lease_term_implied_plausible</t>
        </is>
      </c>
      <c r="B49" s="6" t="inlineStr">
        <is>
          <t>range_plausibility</t>
        </is>
      </c>
      <c r="C49" s="24" t="inlineStr">
        <is>
          <t>warning</t>
        </is>
      </c>
      <c r="D49" s="6" t="inlineStr">
        <is>
          <t>E8_post</t>
        </is>
      </c>
      <c r="E49" s="6" t="inlineStr">
        <is>
          <t>per_year</t>
        </is>
      </c>
      <c r="F49" s="6" t="inlineStr">
        <is>
          <t>1 &lt;= kpi.fa.lease_term_implied &lt;= 30</t>
        </is>
      </c>
      <c r="G49" s="6" t="inlineStr">
        <is>
          <t>log_warning</t>
        </is>
      </c>
      <c r="H49" s="6" t="inlineStr"/>
    </row>
    <row r="50">
      <c r="A50" s="10" t="inlineStr">
        <is>
          <t>RP_012_nd_to_ebitda_plausible</t>
        </is>
      </c>
      <c r="B50" s="8" t="inlineStr">
        <is>
          <t>range_plausibility</t>
        </is>
      </c>
      <c r="C50" s="24" t="inlineStr">
        <is>
          <t>warning</t>
        </is>
      </c>
      <c r="D50" s="8" t="inlineStr">
        <is>
          <t>E8_post</t>
        </is>
      </c>
      <c r="E50" s="8" t="inlineStr">
        <is>
          <t>per_year</t>
        </is>
      </c>
      <c r="F50" s="8" t="inlineStr">
        <is>
          <t>-3 &lt;= kpi.nfp.nd_to_ebitda &lt;= 10</t>
        </is>
      </c>
      <c r="G50" s="8" t="inlineStr">
        <is>
          <t>log_warning</t>
        </is>
      </c>
      <c r="H50" s="8" t="inlineStr"/>
    </row>
    <row r="51">
      <c r="A51" s="9" t="inlineStr">
        <is>
          <t>RP_013_icr_plausible</t>
        </is>
      </c>
      <c r="B51" s="6" t="inlineStr">
        <is>
          <t>range_plausibility</t>
        </is>
      </c>
      <c r="C51" s="24" t="inlineStr">
        <is>
          <t>warning</t>
        </is>
      </c>
      <c r="D51" s="6" t="inlineStr">
        <is>
          <t>E8_post</t>
        </is>
      </c>
      <c r="E51" s="6" t="inlineStr">
        <is>
          <t>per_year</t>
        </is>
      </c>
      <c r="F51" s="6" t="inlineStr">
        <is>
          <t>kpi.nfp.icr_ebit &gt;= 0.5 (covenant risk threshold)</t>
        </is>
      </c>
      <c r="G51" s="6" t="inlineStr">
        <is>
          <t>log_warning</t>
        </is>
      </c>
      <c r="H51" s="6" t="inlineStr"/>
    </row>
    <row r="52">
      <c r="A52" s="10" t="inlineStr">
        <is>
          <t>RP_014_cost_of_debt_plausible</t>
        </is>
      </c>
      <c r="B52" s="8" t="inlineStr">
        <is>
          <t>range_plausibility</t>
        </is>
      </c>
      <c r="C52" s="24" t="inlineStr">
        <is>
          <t>warning</t>
        </is>
      </c>
      <c r="D52" s="8" t="inlineStr">
        <is>
          <t>E8_post</t>
        </is>
      </c>
      <c r="E52" s="8" t="inlineStr">
        <is>
          <t>per_year</t>
        </is>
      </c>
      <c r="F52" s="8" t="inlineStr">
        <is>
          <t>0% &lt;= kpi.nfp.cost_of_debt &lt;= 25%</t>
        </is>
      </c>
      <c r="G52" s="8" t="inlineStr">
        <is>
          <t>log_warning</t>
        </is>
      </c>
      <c r="H52" s="8" t="inlineStr"/>
    </row>
    <row r="53">
      <c r="A53" s="9" t="inlineStr">
        <is>
          <t>RP_015_lease_implicit_rate_plausible</t>
        </is>
      </c>
      <c r="B53" s="6" t="inlineStr">
        <is>
          <t>range_plausibility</t>
        </is>
      </c>
      <c r="C53" s="24" t="inlineStr">
        <is>
          <t>warning</t>
        </is>
      </c>
      <c r="D53" s="6" t="inlineStr">
        <is>
          <t>E8_post</t>
        </is>
      </c>
      <c r="E53" s="6" t="inlineStr">
        <is>
          <t>per_year</t>
        </is>
      </c>
      <c r="F53" s="6" t="inlineStr">
        <is>
          <t>0% &lt;= kpi.nfp.lease_implicit_rate &lt;= 15%</t>
        </is>
      </c>
      <c r="G53" s="6" t="inlineStr">
        <is>
          <t>log_warning</t>
        </is>
      </c>
      <c r="H53" s="6" t="inlineStr"/>
    </row>
    <row r="54">
      <c r="A54" s="10" t="inlineStr">
        <is>
          <t>RP_016_etr_plausible</t>
        </is>
      </c>
      <c r="B54" s="8" t="inlineStr">
        <is>
          <t>range_plausibility</t>
        </is>
      </c>
      <c r="C54" s="24" t="inlineStr">
        <is>
          <t>warning</t>
        </is>
      </c>
      <c r="D54" s="8" t="inlineStr">
        <is>
          <t>E7_post</t>
        </is>
      </c>
      <c r="E54" s="8" t="inlineStr">
        <is>
          <t>per_year</t>
        </is>
      </c>
      <c r="F54" s="8" t="inlineStr">
        <is>
          <t>0% &lt;= kpi.tax.etr &lt;= 50%</t>
        </is>
      </c>
      <c r="G54" s="8" t="inlineStr">
        <is>
          <t>log_warning</t>
        </is>
      </c>
      <c r="H54" s="8" t="inlineStr"/>
    </row>
    <row r="55">
      <c r="A55" s="9" t="inlineStr">
        <is>
          <t>RP_017_payout_ratio_plausible</t>
        </is>
      </c>
      <c r="B55" s="6" t="inlineStr">
        <is>
          <t>range_plausibility</t>
        </is>
      </c>
      <c r="C55" s="24" t="inlineStr">
        <is>
          <t>warning</t>
        </is>
      </c>
      <c r="D55" s="6" t="inlineStr">
        <is>
          <t>E7_post</t>
        </is>
      </c>
      <c r="E55" s="6" t="inlineStr">
        <is>
          <t>per_year</t>
        </is>
      </c>
      <c r="F55" s="6" t="inlineStr">
        <is>
          <t>0% &lt;= kpi.equity.payout_ratio &lt;= 200%</t>
        </is>
      </c>
      <c r="G55" s="6" t="inlineStr">
        <is>
          <t>log_warning</t>
        </is>
      </c>
      <c r="H55" s="6" t="inlineStr"/>
    </row>
    <row r="56">
      <c r="A56" s="10" t="inlineStr">
        <is>
          <t>RP_018_warranty_balance_pct_revenue</t>
        </is>
      </c>
      <c r="B56" s="8" t="inlineStr">
        <is>
          <t>range_plausibility</t>
        </is>
      </c>
      <c r="C56" s="24" t="inlineStr">
        <is>
          <t>warning</t>
        </is>
      </c>
      <c r="D56" s="8" t="inlineStr">
        <is>
          <t>E8_post</t>
        </is>
      </c>
      <c r="E56" s="8" t="inlineStr">
        <is>
          <t>per_year</t>
        </is>
      </c>
      <c r="F56" s="8" t="inlineStr">
        <is>
          <t>0% &lt;= kpi.provisions.warranty_balance_pct_revenue &lt;= 20%</t>
        </is>
      </c>
      <c r="G56" s="8" t="inlineStr">
        <is>
          <t>log_warning</t>
        </is>
      </c>
      <c r="H56" s="8" t="inlineStr"/>
    </row>
    <row r="57">
      <c r="A57" s="9" t="inlineStr">
        <is>
          <t>RP_019_employee_benefits_to_labour</t>
        </is>
      </c>
      <c r="B57" s="6" t="inlineStr">
        <is>
          <t>range_plausibility</t>
        </is>
      </c>
      <c r="C57" s="24" t="inlineStr">
        <is>
          <t>warning</t>
        </is>
      </c>
      <c r="D57" s="6" t="inlineStr">
        <is>
          <t>E8_post</t>
        </is>
      </c>
      <c r="E57" s="6" t="inlineStr">
        <is>
          <t>per_year</t>
        </is>
      </c>
      <c r="F57" s="6" t="inlineStr">
        <is>
          <t>0% &lt;= EB.balance / total_labour_cost &lt;= 200%</t>
        </is>
      </c>
      <c r="G57" s="6" t="inlineStr">
        <is>
          <t>log_warning</t>
        </is>
      </c>
      <c r="H57" s="6" t="inlineStr"/>
    </row>
    <row r="58">
      <c r="A58" s="10" t="inlineStr">
        <is>
          <t>RP_020_assumption_within_validation_range</t>
        </is>
      </c>
      <c r="B58" s="8" t="inlineStr">
        <is>
          <t>range_plausibility</t>
        </is>
      </c>
      <c r="C58" s="24" t="inlineStr">
        <is>
          <t>warning</t>
        </is>
      </c>
      <c r="D58" s="8" t="inlineStr">
        <is>
          <t>E0_post</t>
        </is>
      </c>
      <c r="E58" s="8" t="inlineStr">
        <is>
          <t>per_assumption</t>
        </is>
      </c>
      <c r="F58" s="8" t="inlineStr">
        <is>
          <t>assumption.value within [validation_min, validation_max]</t>
        </is>
      </c>
      <c r="G58" s="8" t="inlineStr">
        <is>
          <t>request_user_input</t>
        </is>
      </c>
      <c r="H58" s="8" t="inlineStr"/>
    </row>
    <row r="59">
      <c r="A59" s="9" t="inlineStr">
        <is>
          <t>RP_021_pct_revenue_assumption_consistency</t>
        </is>
      </c>
      <c r="B59" s="6" t="inlineStr">
        <is>
          <t>range_plausibility</t>
        </is>
      </c>
      <c r="C59" s="24" t="inlineStr">
        <is>
          <t>warning</t>
        </is>
      </c>
      <c r="D59" s="6" t="inlineStr">
        <is>
          <t>E0_post</t>
        </is>
      </c>
      <c r="E59" s="6" t="inlineStr">
        <is>
          <t>per_assumption</t>
        </is>
      </c>
      <c r="F59" s="6" t="inlineStr">
        <is>
          <t>for assumption with unit=pct: 0 &lt;= value &lt;= 1</t>
        </is>
      </c>
      <c r="G59" s="6" t="inlineStr">
        <is>
          <t>log_warning</t>
        </is>
      </c>
      <c r="H59" s="6" t="inlineStr"/>
    </row>
    <row r="60">
      <c r="A60" s="10" t="inlineStr">
        <is>
          <t>RP_022_volume_growth_plausible</t>
        </is>
      </c>
      <c r="B60" s="8" t="inlineStr">
        <is>
          <t>range_plausibility</t>
        </is>
      </c>
      <c r="C60" s="24" t="inlineStr">
        <is>
          <t>warning</t>
        </is>
      </c>
      <c r="D60" s="8" t="inlineStr">
        <is>
          <t>E0_post</t>
        </is>
      </c>
      <c r="E60" s="8" t="inlineStr">
        <is>
          <t>per_assumption</t>
        </is>
      </c>
      <c r="F60" s="8" t="inlineStr">
        <is>
          <t>for volume_growth: -50% &lt;= value &lt;= +500%</t>
        </is>
      </c>
      <c r="G60" s="8" t="inlineStr">
        <is>
          <t>log_warning</t>
        </is>
      </c>
      <c r="H60" s="8" t="inlineStr"/>
    </row>
    <row r="61">
      <c r="A61" s="9" t="inlineStr">
        <is>
          <t>CP_001_opening_equals_prior_close</t>
        </is>
      </c>
      <c r="B61" s="6" t="inlineStr">
        <is>
          <t>cross_period</t>
        </is>
      </c>
      <c r="C61" s="24" t="inlineStr">
        <is>
          <t>warning</t>
        </is>
      </c>
      <c r="D61" s="6" t="inlineStr">
        <is>
          <t>E0/E2/E5_post</t>
        </is>
      </c>
      <c r="E61" s="6" t="inlineStr">
        <is>
          <t>per_year, per_voice</t>
        </is>
      </c>
      <c r="F61" s="6" t="inlineStr">
        <is>
          <t>for roll-forward voices: balance_open[t] == balance_close[t-1]</t>
        </is>
      </c>
      <c r="G61" s="6" t="inlineStr">
        <is>
          <t>log_warning</t>
        </is>
      </c>
      <c r="H61" s="6" t="inlineStr">
        <is>
          <t>Tol 0.01</t>
        </is>
      </c>
    </row>
    <row r="62">
      <c r="A62" s="10" t="inlineStr">
        <is>
          <t>CP_002_revenue_trend_continuity</t>
        </is>
      </c>
      <c r="B62" s="8" t="inlineStr">
        <is>
          <t>cross_period</t>
        </is>
      </c>
      <c r="C62" s="24" t="inlineStr">
        <is>
          <t>warning</t>
        </is>
      </c>
      <c r="D62" s="8" t="inlineStr">
        <is>
          <t>E8_post</t>
        </is>
      </c>
      <c r="E62" s="8" t="inlineStr">
        <is>
          <t>global</t>
        </is>
      </c>
      <c r="F62" s="8" t="inlineStr">
        <is>
          <t>abs(growth.revenue_yoy[Y1] - [Y0]) &lt;= 50pp</t>
        </is>
      </c>
      <c r="G62" s="8" t="inlineStr">
        <is>
          <t>log_warning</t>
        </is>
      </c>
      <c r="H62" s="8" t="inlineStr"/>
    </row>
    <row r="63">
      <c r="A63" s="9" t="inlineStr">
        <is>
          <t>CP_003_margin_trend_continuity</t>
        </is>
      </c>
      <c r="B63" s="6" t="inlineStr">
        <is>
          <t>cross_period</t>
        </is>
      </c>
      <c r="C63" s="24" t="inlineStr">
        <is>
          <t>warning</t>
        </is>
      </c>
      <c r="D63" s="6" t="inlineStr">
        <is>
          <t>E8_post</t>
        </is>
      </c>
      <c r="E63" s="6" t="inlineStr">
        <is>
          <t>global</t>
        </is>
      </c>
      <c r="F63" s="6" t="inlineStr">
        <is>
          <t>abs(margin.gross[Y1] - [Y0]) &lt;= 1000bps</t>
        </is>
      </c>
      <c r="G63" s="6" t="inlineStr">
        <is>
          <t>log_warning</t>
        </is>
      </c>
      <c r="H63" s="6" t="inlineStr"/>
    </row>
    <row r="64">
      <c r="A64" s="10" t="inlineStr">
        <is>
          <t>CP_004_capex_intensity_continuity</t>
        </is>
      </c>
      <c r="B64" s="8" t="inlineStr">
        <is>
          <t>cross_period</t>
        </is>
      </c>
      <c r="C64" s="24" t="inlineStr">
        <is>
          <t>warning</t>
        </is>
      </c>
      <c r="D64" s="8" t="inlineStr">
        <is>
          <t>E8_post</t>
        </is>
      </c>
      <c r="E64" s="8" t="inlineStr">
        <is>
          <t>global</t>
        </is>
      </c>
      <c r="F64" s="8" t="inlineStr">
        <is>
          <t>abs(capex_intensity[Y1] - avg_3y) &lt;= 100%</t>
        </is>
      </c>
      <c r="G64" s="8" t="inlineStr">
        <is>
          <t>log_warning</t>
        </is>
      </c>
      <c r="H64" s="8" t="inlineStr"/>
    </row>
    <row r="65">
      <c r="A65" s="9" t="inlineStr">
        <is>
          <t>CP_005_dso_continuity</t>
        </is>
      </c>
      <c r="B65" s="6" t="inlineStr">
        <is>
          <t>cross_period</t>
        </is>
      </c>
      <c r="C65" s="24" t="inlineStr">
        <is>
          <t>warning</t>
        </is>
      </c>
      <c r="D65" s="6" t="inlineStr">
        <is>
          <t>E8_post</t>
        </is>
      </c>
      <c r="E65" s="6" t="inlineStr">
        <is>
          <t>global</t>
        </is>
      </c>
      <c r="F65" s="6" t="inlineStr">
        <is>
          <t>abs(dso[Y1] - dso[Y0]) &lt;= 60 days</t>
        </is>
      </c>
      <c r="G65" s="6" t="inlineStr">
        <is>
          <t>log_warning</t>
        </is>
      </c>
      <c r="H65" s="6" t="inlineStr"/>
    </row>
    <row r="66">
      <c r="A66" s="10" t="inlineStr">
        <is>
          <t>CP_006_balance_check_continuity</t>
        </is>
      </c>
      <c r="B66" s="8" t="inlineStr">
        <is>
          <t>cross_period</t>
        </is>
      </c>
      <c r="C66" s="24" t="inlineStr">
        <is>
          <t>warning</t>
        </is>
      </c>
      <c r="D66" s="8" t="inlineStr">
        <is>
          <t>E8_post</t>
        </is>
      </c>
      <c r="E66" s="8" t="inlineStr">
        <is>
          <t>global</t>
        </is>
      </c>
      <c r="F66" s="8" t="inlineStr">
        <is>
          <t>abs(balance_check[Y1]) &lt;= 10*abs(balance_check[Y0])</t>
        </is>
      </c>
      <c r="G66" s="8" t="inlineStr">
        <is>
          <t>log_warning</t>
        </is>
      </c>
      <c r="H66" s="8" t="inlineStr"/>
    </row>
    <row r="67">
      <c r="A67" s="9" t="inlineStr">
        <is>
          <t>CP_007_nol_carryforward_consistency</t>
        </is>
      </c>
      <c r="B67" s="6" t="inlineStr">
        <is>
          <t>cross_period</t>
        </is>
      </c>
      <c r="C67" s="24" t="inlineStr">
        <is>
          <t>warning</t>
        </is>
      </c>
      <c r="D67" s="6" t="inlineStr">
        <is>
          <t>E7_post</t>
        </is>
      </c>
      <c r="E67" s="6" t="inlineStr">
        <is>
          <t>per_year</t>
        </is>
      </c>
      <c r="F67" s="6" t="inlineStr">
        <is>
          <t>nol_carryforward.close == open + max(0,-taxable_income) - nol_used</t>
        </is>
      </c>
      <c r="G67" s="6" t="inlineStr">
        <is>
          <t>log_warning</t>
        </is>
      </c>
      <c r="H67" s="6" t="inlineStr"/>
    </row>
    <row r="68">
      <c r="A68" s="10" t="inlineStr">
        <is>
          <t>CP_008_share_count_non_decreasing</t>
        </is>
      </c>
      <c r="B68" s="8" t="inlineStr">
        <is>
          <t>cross_period</t>
        </is>
      </c>
      <c r="C68" s="24" t="inlineStr">
        <is>
          <t>warning</t>
        </is>
      </c>
      <c r="D68" s="8" t="inlineStr">
        <is>
          <t>E6_post</t>
        </is>
      </c>
      <c r="E68" s="8" t="inlineStr">
        <is>
          <t>per_year</t>
        </is>
      </c>
      <c r="F68" s="8" t="inlineStr">
        <is>
          <t>if buyback==0: shares[year] &gt;= shares[year-1]</t>
        </is>
      </c>
      <c r="G68" s="8" t="inlineStr">
        <is>
          <t>log_warning</t>
        </is>
      </c>
      <c r="H68" s="8" t="inlineStr"/>
    </row>
    <row r="69">
      <c r="A69" s="9" t="inlineStr">
        <is>
          <t>CF_001_method_in_allowed_list</t>
        </is>
      </c>
      <c r="B69" s="6" t="inlineStr">
        <is>
          <t>configuration</t>
        </is>
      </c>
      <c r="C69" s="23" t="inlineStr">
        <is>
          <t>error</t>
        </is>
      </c>
      <c r="D69" s="6" t="inlineStr">
        <is>
          <t>E0_post</t>
        </is>
      </c>
      <c r="E69" s="6" t="inlineStr">
        <is>
          <t>per_voice</t>
        </is>
      </c>
      <c r="F69" s="6" t="inlineStr">
        <is>
          <t>voice.method_selected in voice.allowed_methods</t>
        </is>
      </c>
      <c r="G69" s="6" t="inlineStr">
        <is>
          <t>halt</t>
        </is>
      </c>
      <c r="H69" s="6" t="inlineStr"/>
    </row>
    <row r="70">
      <c r="A70" s="10" t="inlineStr">
        <is>
          <t>CF_002_method_sector_compatibility</t>
        </is>
      </c>
      <c r="B70" s="8" t="inlineStr">
        <is>
          <t>configuration</t>
        </is>
      </c>
      <c r="C70" s="23" t="inlineStr">
        <is>
          <t>error</t>
        </is>
      </c>
      <c r="D70" s="8" t="inlineStr">
        <is>
          <t>E0_post</t>
        </is>
      </c>
      <c r="E70" s="8" t="inlineStr">
        <is>
          <t>per_voice</t>
        </is>
      </c>
      <c r="F70" s="8" t="inlineStr">
        <is>
          <t>if sector_pack: method.applicable_sectors includes selected_sector</t>
        </is>
      </c>
      <c r="G70" s="8" t="inlineStr">
        <is>
          <t>halt</t>
        </is>
      </c>
      <c r="H70" s="8" t="inlineStr"/>
    </row>
    <row r="71">
      <c r="A71" s="9" t="inlineStr">
        <is>
          <t>CF_003_assumption_completeness</t>
        </is>
      </c>
      <c r="B71" s="6" t="inlineStr">
        <is>
          <t>configuration</t>
        </is>
      </c>
      <c r="C71" s="23" t="inlineStr">
        <is>
          <t>error</t>
        </is>
      </c>
      <c r="D71" s="6" t="inlineStr">
        <is>
          <t>E0_post</t>
        </is>
      </c>
      <c r="E71" s="6" t="inlineStr">
        <is>
          <t>per_method</t>
        </is>
      </c>
      <c r="F71" s="6" t="inlineStr">
        <is>
          <t>all required assumptions populated for Y1-Y3</t>
        </is>
      </c>
      <c r="G71" s="6" t="inlineStr">
        <is>
          <t>halt</t>
        </is>
      </c>
      <c r="H71" s="6" t="inlineStr"/>
    </row>
    <row r="72">
      <c r="A72" s="10" t="inlineStr">
        <is>
          <t>CF_004_default_kpi_resolves</t>
        </is>
      </c>
      <c r="B72" s="8" t="inlineStr">
        <is>
          <t>configuration</t>
        </is>
      </c>
      <c r="C72" s="23" t="inlineStr">
        <is>
          <t>error</t>
        </is>
      </c>
      <c r="D72" s="8" t="inlineStr">
        <is>
          <t>E0_post</t>
        </is>
      </c>
      <c r="E72" s="8" t="inlineStr">
        <is>
          <t>per_assumption</t>
        </is>
      </c>
      <c r="F72" s="8" t="inlineStr">
        <is>
          <t>if default_kpi_id != null: KPI calcolabile in storico</t>
        </is>
      </c>
      <c r="G72" s="8" t="inlineStr">
        <is>
          <t>use_fallback</t>
        </is>
      </c>
      <c r="H72" s="8" t="inlineStr"/>
    </row>
    <row r="73">
      <c r="A73" s="9" t="inlineStr">
        <is>
          <t>CF_005_perimeter_consistency</t>
        </is>
      </c>
      <c r="B73" s="6" t="inlineStr">
        <is>
          <t>configuration</t>
        </is>
      </c>
      <c r="C73" s="23" t="inlineStr">
        <is>
          <t>error</t>
        </is>
      </c>
      <c r="D73" s="6" t="inlineStr">
        <is>
          <t>E0_pre</t>
        </is>
      </c>
      <c r="E73" s="6" t="inlineStr">
        <is>
          <t>global</t>
        </is>
      </c>
      <c r="F73" s="6" t="inlineStr">
        <is>
          <t>selected perimeter in [consolidated, legal_entity, cgu]</t>
        </is>
      </c>
      <c r="G73" s="6" t="inlineStr">
        <is>
          <t>halt</t>
        </is>
      </c>
      <c r="H73" s="6" t="inlineStr"/>
    </row>
    <row r="74">
      <c r="A74" s="10" t="inlineStr">
        <is>
          <t>CF_006_currency_consistency</t>
        </is>
      </c>
      <c r="B74" s="8" t="inlineStr">
        <is>
          <t>configuration</t>
        </is>
      </c>
      <c r="C74" s="23" t="inlineStr">
        <is>
          <t>error</t>
        </is>
      </c>
      <c r="D74" s="8" t="inlineStr">
        <is>
          <t>E0_pre</t>
        </is>
      </c>
      <c r="E74" s="8" t="inlineStr">
        <is>
          <t>global</t>
        </is>
      </c>
      <c r="F74" s="8" t="inlineStr">
        <is>
          <t>currency == EUR for pilot v1.1</t>
        </is>
      </c>
      <c r="G74" s="8" t="inlineStr">
        <is>
          <t>halt</t>
        </is>
      </c>
      <c r="H74" s="8" t="inlineStr">
        <is>
          <t>Multi-currency = improvement</t>
        </is>
      </c>
    </row>
    <row r="75">
      <c r="A75" s="9" t="inlineStr">
        <is>
          <t>CQ_001_proxy_error_rev_net</t>
        </is>
      </c>
      <c r="B75" s="6" t="inlineStr">
        <is>
          <t>calculation_quality</t>
        </is>
      </c>
      <c r="C75" s="25" t="inlineStr">
        <is>
          <t>info</t>
        </is>
      </c>
      <c r="D75" s="6" t="inlineStr">
        <is>
          <t>E3.1_post</t>
        </is>
      </c>
      <c r="E75" s="6" t="inlineStr">
        <is>
          <t>per_year</t>
        </is>
      </c>
      <c r="F75" s="6" t="inlineStr">
        <is>
          <t>abs(rev.net.proxy - rev.net.final) / rev.net.final &gt; 0.01</t>
        </is>
      </c>
      <c r="G75" s="6" t="inlineStr">
        <is>
          <t>log_info</t>
        </is>
      </c>
      <c r="H75" s="6" t="inlineStr">
        <is>
          <t>APX_001</t>
        </is>
      </c>
    </row>
    <row r="76">
      <c r="A76" s="10" t="inlineStr">
        <is>
          <t>CQ_002_proxy_error_interest_income</t>
        </is>
      </c>
      <c r="B76" s="8" t="inlineStr">
        <is>
          <t>calculation_quality</t>
        </is>
      </c>
      <c r="C76" s="24" t="inlineStr">
        <is>
          <t>warning</t>
        </is>
      </c>
      <c r="D76" s="8" t="inlineStr">
        <is>
          <t>E8_post</t>
        </is>
      </c>
      <c r="E76" s="8" t="inlineStr">
        <is>
          <t>per_year</t>
        </is>
      </c>
      <c r="F76" s="8" t="inlineStr">
        <is>
          <t>abs(interest_income.recalc - interest_income) / abs(NI) &gt; 0.05</t>
        </is>
      </c>
      <c r="G76" s="8" t="inlineStr">
        <is>
          <t>log_warning</t>
        </is>
      </c>
      <c r="H76" s="8" t="inlineStr">
        <is>
          <t>APX_006</t>
        </is>
      </c>
    </row>
    <row r="77">
      <c r="A77" s="9" t="inlineStr">
        <is>
          <t>CQ_003_balance_check_within_tolerance_but_growing</t>
        </is>
      </c>
      <c r="B77" s="6" t="inlineStr">
        <is>
          <t>calculation_quality</t>
        </is>
      </c>
      <c r="C77" s="25" t="inlineStr">
        <is>
          <t>info</t>
        </is>
      </c>
      <c r="D77" s="6" t="inlineStr">
        <is>
          <t>end_of_run</t>
        </is>
      </c>
      <c r="E77" s="6" t="inlineStr">
        <is>
          <t>global</t>
        </is>
      </c>
      <c r="F77" s="6" t="inlineStr">
        <is>
          <t>balance_check abs values increasing across years</t>
        </is>
      </c>
      <c r="G77" s="6" t="inlineStr">
        <is>
          <t>log_info</t>
        </is>
      </c>
      <c r="H77" s="6" t="inlineStr">
        <is>
          <t>Possibile compounding error</t>
        </is>
      </c>
    </row>
    <row r="79" ht="22" customHeight="1">
      <c r="A79" s="3" t="inlineStr">
        <is>
          <t>Totali: 73 regole catalogate</t>
        </is>
      </c>
    </row>
  </sheetData>
  <mergeCells count="3">
    <mergeCell ref="A79:H79"/>
    <mergeCell ref="A3:H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50" customWidth="1" min="3" max="3"/>
    <col width="22" customWidth="1" min="4" max="4"/>
    <col width="50" customWidth="1" min="5" max="5"/>
    <col width="30" customWidth="1" min="6" max="6"/>
  </cols>
  <sheetData>
    <row r="1" ht="28" customHeight="1">
      <c r="A1" s="1" t="inlineStr">
        <is>
          <t>Data Requirement Matrix — TIER 0/1/2/3 + sub-tier method-specific (TIER 4)</t>
        </is>
      </c>
    </row>
    <row r="3" ht="22" customHeight="1">
      <c r="A3" s="3" t="inlineStr">
        <is>
          <t>Architettura: required_data = TIER_0 + TIER_1 + (T2 se standard+) + (T3 se advanced) + TIER_4_dynamic(metodi selezionati)</t>
        </is>
      </c>
    </row>
    <row r="4" ht="32" customHeight="1">
      <c r="A4" s="4" t="inlineStr">
        <is>
          <t>tier</t>
        </is>
      </c>
      <c r="B4" s="4" t="inlineStr">
        <is>
          <t>categoria</t>
        </is>
      </c>
      <c r="C4" s="4" t="inlineStr">
        <is>
          <t>voci/driver/parametri</t>
        </is>
      </c>
      <c r="D4" s="4" t="inlineStr">
        <is>
          <t>scope</t>
        </is>
      </c>
      <c r="E4" s="4" t="inlineStr">
        <is>
          <t>metodi disponibili</t>
        </is>
      </c>
      <c r="F4" s="4" t="inlineStr">
        <is>
          <t>note</t>
        </is>
      </c>
    </row>
    <row r="5">
      <c r="A5" s="9" t="inlineStr">
        <is>
          <t>TIER 0</t>
        </is>
      </c>
      <c r="B5" s="6" t="inlineStr">
        <is>
          <t>Reference (sempre obbligatorio)</t>
        </is>
      </c>
      <c r="C5" s="6" t="inlineStr">
        <is>
          <t>entity_name, currency, fiscal_year_end, historical_years, projection_horizon, perimeter_type, sector_pack, country_main, tax_rate_blended, materiality_threshold, tier_level</t>
        </is>
      </c>
      <c r="D5" s="6" t="inlineStr">
        <is>
          <t>configurazione</t>
        </is>
      </c>
      <c r="E5" s="6" t="inlineStr">
        <is>
          <t>—</t>
        </is>
      </c>
      <c r="F5" s="6" t="inlineStr">
        <is>
          <t>0 voci modello, solo configurazione</t>
        </is>
      </c>
    </row>
    <row r="6">
      <c r="A6" s="10" t="inlineStr">
        <is>
          <t>TIER 1</t>
        </is>
      </c>
      <c r="B6" s="8" t="inlineStr">
        <is>
          <t>Minimum (P&amp;L/SP aggregato)</t>
        </is>
      </c>
      <c r="C6" s="8" t="inlineStr">
        <is>
          <t>12 voci P&amp;L: pl.rev.gross_total, deductions_total, net, cogs.total, gross_profit, opex.total, ebitda, da.total, ebit, financial.total_net, tax.total, net_income</t>
        </is>
      </c>
      <c r="D6" s="8" t="inlineStr">
        <is>
          <t>P&amp;L aggregato</t>
        </is>
      </c>
      <c r="E6" s="8" t="inlineStr">
        <is>
          <t>EXTRAPOLATION (M_EXT_001-004), pct_net_revenue, days_target, MANUAL, DERIVED_RULE</t>
        </is>
      </c>
      <c r="F6" s="8" t="inlineStr">
        <is>
          <t>Engine eseguibile con 28 voci totali</t>
        </is>
      </c>
    </row>
    <row r="7">
      <c r="A7" s="9" t="inlineStr">
        <is>
          <t>TIER 1</t>
        </is>
      </c>
      <c r="B7" s="6" t="inlineStr">
        <is>
          <t>Minimum (cont.)</t>
        </is>
      </c>
      <c r="C7" s="6" t="inlineStr">
        <is>
          <t>16 voci SP aggregate: bs.fa.{tangible/intangible/rou/investment_property/financial}.net, bs.nwc.ar.net, inventory.total, prepayments, ap.trade, accrued, other_current_*, bs.nfp.borrowings.total, lease_liability.total, cash, bs.equity.total</t>
        </is>
      </c>
      <c r="D7" s="6" t="inlineStr">
        <is>
          <t>SP aggregato</t>
        </is>
      </c>
      <c r="E7" s="6" t="inlineStr">
        <is>
          <t>Stessi metodi</t>
        </is>
      </c>
      <c r="F7" s="6" t="inlineStr">
        <is>
          <t>Voci 'aggregate' come driver virtuali</t>
        </is>
      </c>
    </row>
    <row r="8">
      <c r="A8" s="10" t="inlineStr">
        <is>
          <t>TIER 1</t>
        </is>
      </c>
      <c r="B8" s="8" t="inlineStr">
        <is>
          <t>Minimum (esogeni)</t>
        </is>
      </c>
      <c r="C8" s="8" t="inlineStr">
        <is>
          <t>macro.inflation_cpi (se inflation_indexed_growth selezionato), tax.etr_blended (TIER 0)</t>
        </is>
      </c>
      <c r="D8" s="8" t="inlineStr">
        <is>
          <t>esogeno</t>
        </is>
      </c>
      <c r="E8" s="8" t="inlineStr">
        <is>
          <t>—</t>
        </is>
      </c>
      <c r="F8" s="8" t="inlineStr"/>
    </row>
    <row r="9">
      <c r="A9" s="9" t="inlineStr">
        <is>
          <t>TIER 2</t>
        </is>
      </c>
      <c r="B9" s="6" t="inlineStr">
        <is>
          <t>Standard — split P&amp;L</t>
        </is>
      </c>
      <c r="C9" s="6" t="inlineStr">
        <is>
          <t>+10 voci pl.rev.gross.* (split per tipo), +4 deductions.*, +8 cogs.*, +16 opex.*, +3 da.* (ppe/intangibles/rou), +4 impairment, +3 provisions, +3 financial.*</t>
        </is>
      </c>
      <c r="D9" s="6" t="inlineStr">
        <is>
          <t>P&amp;L granulare</t>
        </is>
      </c>
      <c r="E9" s="6" t="inlineStr">
        <is>
          <t>+ pct_revenue_with_drift, pct_gross_revenue, pct_inventory_writeoff, allowance_pct_ar_gross, capex_pct_*, disposals_pct_*, rou_new_leases_*, lease_payment_*, warranty_rate_*, dividend_*, deferred_tax_*</t>
        </is>
      </c>
      <c r="F9" s="6" t="inlineStr">
        <is>
          <t>Split granulare per voce</t>
        </is>
      </c>
    </row>
    <row r="10">
      <c r="A10" s="10" t="inlineStr">
        <is>
          <t>TIER 2</t>
        </is>
      </c>
      <c r="B10" s="8" t="inlineStr">
        <is>
          <t>Standard — split SP</t>
        </is>
      </c>
      <c r="C10" s="8" t="inlineStr">
        <is>
          <t>+16 voci NWC granulari (ar.trade_gross, allowance, contract_*, inventory.raw/wip/finished, vat_*, cit_*, other), +24 fixed assets driver + 17 derived per famiglia</t>
        </is>
      </c>
      <c r="D10" s="8" t="inlineStr">
        <is>
          <t>SP granulare</t>
        </is>
      </c>
      <c r="E10" s="8" t="inlineStr">
        <is>
          <t>+ days_target su voci specifiche, vat_balance_ratio, cit_settlement</t>
        </is>
      </c>
      <c r="F10" s="8" t="inlineStr"/>
    </row>
    <row r="11">
      <c r="A11" s="9" t="inlineStr">
        <is>
          <t>TIER 2</t>
        </is>
      </c>
      <c r="B11" s="6" t="inlineStr">
        <is>
          <t>Standard — esogeni aggiunti</t>
        </is>
      </c>
      <c r="C11" s="6" t="inlineStr">
        <is>
          <t>tax.vat_rate_avg_sales, tax.vat_rate_avg_purchases, tax.cit_advance_rate</t>
        </is>
      </c>
      <c r="D11" s="6" t="inlineStr">
        <is>
          <t>esogeno</t>
        </is>
      </c>
      <c r="E11" s="6" t="inlineStr">
        <is>
          <t>vat_balance_ratio, cit_settlement</t>
        </is>
      </c>
      <c r="F11" s="6" t="inlineStr"/>
    </row>
    <row r="12">
      <c r="A12" s="10" t="inlineStr">
        <is>
          <t>TIER 3</t>
        </is>
      </c>
      <c r="B12" s="8" t="inlineStr">
        <is>
          <t>Advanced — driver volumi/prezzi</t>
        </is>
      </c>
      <c r="C12" s="8" t="inlineStr">
        <is>
          <t>driver.{voice}.volume, .price_avg, .unit_cost_avg per ogni voce con metodo OPERATIONAL_DRIVER</t>
        </is>
      </c>
      <c r="D12" s="8" t="inlineStr">
        <is>
          <t>driver industriali</t>
        </is>
      </c>
      <c r="E12" s="8" t="inlineStr">
        <is>
          <t>+ volume_price, volume_unit_cost, volume_price_split_growth, capacity_utilization_price, occupancy_load_factor</t>
        </is>
      </c>
      <c r="F12" s="8" t="inlineStr">
        <is>
          <t>30-60 driver tipici</t>
        </is>
      </c>
    </row>
    <row r="13">
      <c r="A13" s="9" t="inlineStr">
        <is>
          <t>TIER 3</t>
        </is>
      </c>
      <c r="B13" s="6" t="inlineStr">
        <is>
          <t>Advanced — driver capacity</t>
        </is>
      </c>
      <c r="C13" s="6" t="inlineStr">
        <is>
          <t>driver.{voice}.capacity, .utilization, driver.production.* (volume, capacity, utilization)</t>
        </is>
      </c>
      <c r="D13" s="6" t="inlineStr">
        <is>
          <t>capacity-driven</t>
        </is>
      </c>
      <c r="E13" s="6" t="inlineStr">
        <is>
          <t>+ inventory_production_cycle_days</t>
        </is>
      </c>
      <c r="F13" s="6" t="inlineStr"/>
    </row>
    <row r="14">
      <c r="A14" s="10" t="inlineStr">
        <is>
          <t>TIER 3</t>
        </is>
      </c>
      <c r="B14" s="8" t="inlineStr">
        <is>
          <t>Advanced — headcount per funzione</t>
        </is>
      </c>
      <c r="C14" s="8" t="inlineStr">
        <is>
          <t>driver.headcount.cogs_labour_direct, opex_sm_personnel, opex_ga_personnel, opex_rd_personnel, opex_customer_support; cost_per_fte per ognuno; total per per_employee_fixed_cost</t>
        </is>
      </c>
      <c r="D14" s="8" t="inlineStr">
        <is>
          <t>personnel</t>
        </is>
      </c>
      <c r="E14" s="8" t="inlineStr">
        <is>
          <t>+ headcount_unit_cost, per_employee_fixed_cost, employee_benefits_service_cost_rate</t>
        </is>
      </c>
      <c r="F14" s="8" t="inlineStr">
        <is>
          <t>5 dataset FTE distinti</t>
        </is>
      </c>
    </row>
    <row r="15">
      <c r="A15" s="9" t="inlineStr">
        <is>
          <t>TIER 3</t>
        </is>
      </c>
      <c r="B15" s="6" t="inlineStr">
        <is>
          <t>Advanced — BoM (per bom_input_cost)</t>
        </is>
      </c>
      <c r="C15" s="6" t="inlineStr">
        <is>
          <t>driver.bom.{voice}.component_&lt;i&gt;_qty/_price (parametrico N)</t>
        </is>
      </c>
      <c r="D15" s="6" t="inlineStr">
        <is>
          <t>industrial BoM</t>
        </is>
      </c>
      <c r="E15" s="6" t="inlineStr">
        <is>
          <t>+ bom_input_cost</t>
        </is>
      </c>
      <c r="F15" s="6" t="inlineStr"/>
    </row>
    <row r="16">
      <c r="A16" s="10" t="inlineStr">
        <is>
          <t>TIER 3</t>
        </is>
      </c>
      <c r="B16" s="8" t="inlineStr">
        <is>
          <t>Advanced — capex per unit</t>
        </is>
      </c>
      <c r="C16" s="8" t="inlineStr">
        <is>
          <t>driver.capex.{voice}.units_added_history, .cost_per_unit_history</t>
        </is>
      </c>
      <c r="D16" s="8" t="inlineStr">
        <is>
          <t>asset register</t>
        </is>
      </c>
      <c r="E16" s="8" t="inlineStr">
        <is>
          <t>+ capex_per_unit, rou_new_leases_per_unit</t>
        </is>
      </c>
      <c r="F16" s="8" t="inlineStr"/>
    </row>
    <row r="17">
      <c r="A17" s="9" t="inlineStr">
        <is>
          <t>TIER 4.A</t>
        </is>
      </c>
      <c r="B17" s="6" t="inlineStr">
        <is>
          <t>ARR bridge (SaaS)</t>
        </is>
      </c>
      <c r="C17" s="6" t="inlineStr">
        <is>
          <t>driver.saas.arr_y0, .new_arr, .expansion_arr, .contraction_arr, .churn_arr</t>
        </is>
      </c>
      <c r="D17" s="6" t="inlineStr">
        <is>
          <t>method-specific</t>
        </is>
      </c>
      <c r="E17" s="6" t="inlineStr">
        <is>
          <t>arr_bridge (M_BRG_002)</t>
        </is>
      </c>
      <c r="F17" s="6" t="inlineStr">
        <is>
          <t>Sector pack SaaS</t>
        </is>
      </c>
    </row>
    <row r="18">
      <c r="A18" s="10" t="inlineStr">
        <is>
          <t>TIER 4.B</t>
        </is>
      </c>
      <c r="B18" s="8" t="inlineStr">
        <is>
          <t>Cohort buildup</t>
        </is>
      </c>
      <c r="C18" s="8" t="inlineStr">
        <is>
          <t>driver.{voice}.cohort_&lt;v&gt;.customers, .arpu (panel per coorte vintage)</t>
        </is>
      </c>
      <c r="D18" s="8" t="inlineStr">
        <is>
          <t>method-specific</t>
        </is>
      </c>
      <c r="E18" s="8" t="inlineStr">
        <is>
          <t>cohort_buildup (M_BLD_002)</t>
        </is>
      </c>
      <c r="F18" s="8" t="inlineStr"/>
    </row>
    <row r="19">
      <c r="A19" s="9" t="inlineStr">
        <is>
          <t>TIER 4.C</t>
        </is>
      </c>
      <c r="B19" s="6" t="inlineStr">
        <is>
          <t>Pipeline weighted</t>
        </is>
      </c>
      <c r="C19" s="6" t="inlineStr">
        <is>
          <t>driver.{voice}.pipeline_phase_{qualified/proposal/negotiation/closing}, .win_prob_phase_&lt;p&gt;</t>
        </is>
      </c>
      <c r="D19" s="6" t="inlineStr">
        <is>
          <t>method-specific</t>
        </is>
      </c>
      <c r="E19" s="6" t="inlineStr">
        <is>
          <t>pipeline_weighted (M_PRB_001)</t>
        </is>
      </c>
      <c r="F19" s="6" t="inlineStr">
        <is>
          <t>4 fasi standard</t>
        </is>
      </c>
    </row>
    <row r="20">
      <c r="A20" s="10" t="inlineStr">
        <is>
          <t>TIER 4.D</t>
        </is>
      </c>
      <c r="B20" s="8" t="inlineStr">
        <is>
          <t>Account-by-account</t>
        </is>
      </c>
      <c r="C20" s="8" t="inlineStr">
        <is>
          <t>driver.{voice}.account_&lt;n&gt;, .long_tail (N parametrico top accounts)</t>
        </is>
      </c>
      <c r="D20" s="8" t="inlineStr">
        <is>
          <t>method-specific</t>
        </is>
      </c>
      <c r="E20" s="8" t="inlineStr">
        <is>
          <t>account_by_account (M_BLD_001)</t>
        </is>
      </c>
      <c r="F20" s="8" t="inlineStr"/>
    </row>
    <row r="21">
      <c r="A21" s="9" t="inlineStr">
        <is>
          <t>TIER 4.E</t>
        </is>
      </c>
      <c r="B21" s="6" t="inlineStr">
        <is>
          <t>Backlog / book-to-bill / order intake</t>
        </is>
      </c>
      <c r="C21" s="6" t="inlineStr">
        <is>
          <t>driver.{voice}.backlog, .order_intake, .b2b_ratio</t>
        </is>
      </c>
      <c r="D21" s="6" t="inlineStr">
        <is>
          <t>method-specific</t>
        </is>
      </c>
      <c r="E21" s="6" t="inlineStr">
        <is>
          <t>backlog_conversion, book_to_bill, order_intake_rollforward</t>
        </is>
      </c>
      <c r="F21" s="6" t="inlineStr"/>
    </row>
    <row r="22">
      <c r="A22" s="10" t="inlineStr">
        <is>
          <t>TIER 4.F</t>
        </is>
      </c>
      <c r="B22" s="8" t="inlineStr">
        <is>
          <t>Contract renewal waterfall</t>
        </is>
      </c>
      <c r="C22" s="8" t="inlineStr">
        <is>
          <t>driver.{voice}.active, .expiring, .renewal_rate, .uplift, .new</t>
        </is>
      </c>
      <c r="D22" s="8" t="inlineStr">
        <is>
          <t>method-specific</t>
        </is>
      </c>
      <c r="E22" s="8" t="inlineStr">
        <is>
          <t>contract_renewal_waterfall (M_BLD_006)</t>
        </is>
      </c>
      <c r="F22" s="8" t="inlineStr"/>
    </row>
    <row r="23">
      <c r="A23" s="9" t="inlineStr">
        <is>
          <t>TIER 4.G</t>
        </is>
      </c>
      <c r="B23" s="6" t="inlineStr">
        <is>
          <t>Revenue bridge</t>
        </is>
      </c>
      <c r="C23" s="6" t="inlineStr">
        <is>
          <t>driver.{voice}.delta_price, .delta_volume, .delta_mix, .delta_fx, .delta_perimeter, .delta_other</t>
        </is>
      </c>
      <c r="D23" s="6" t="inlineStr">
        <is>
          <t>method-specific</t>
        </is>
      </c>
      <c r="E23" s="6" t="inlineStr">
        <is>
          <t>revenue_bridge (M_BRG_001)</t>
        </is>
      </c>
      <c r="F23" s="6" t="inlineStr">
        <is>
          <t>6 componenti</t>
        </is>
      </c>
    </row>
    <row r="24">
      <c r="A24" s="10" t="inlineStr">
        <is>
          <t>TIER 4.H</t>
        </is>
      </c>
      <c r="B24" s="8" t="inlineStr">
        <is>
          <t>Weighted exposure (legal)</t>
        </is>
      </c>
      <c r="C24" s="8" t="inlineStr">
        <is>
          <t>driver.legal_other.case_&lt;i&gt;.probability, .exposure</t>
        </is>
      </c>
      <c r="D24" s="8" t="inlineStr">
        <is>
          <t>method-specific</t>
        </is>
      </c>
      <c r="E24" s="8" t="inlineStr">
        <is>
          <t>weighted_exposure (M_PRB_002)</t>
        </is>
      </c>
      <c r="F24" s="8" t="inlineStr"/>
    </row>
    <row r="25">
      <c r="A25" s="9" t="inlineStr">
        <is>
          <t>TIER 4.I</t>
        </is>
      </c>
      <c r="B25" s="6" t="inlineStr">
        <is>
          <t>Allowance aging bucket</t>
        </is>
      </c>
      <c r="C25" s="6" t="inlineStr">
        <is>
          <t>driver.ar.aging.{current/1-30/31-90/91-180/&gt;180}.amount, .ecl_rate</t>
        </is>
      </c>
      <c r="D25" s="6" t="inlineStr">
        <is>
          <t>method-specific</t>
        </is>
      </c>
      <c r="E25" s="6" t="inlineStr">
        <is>
          <t>allowance_aging_bucket (M_PRB_003)</t>
        </is>
      </c>
      <c r="F25" s="6" t="inlineStr">
        <is>
          <t>IFRS 9 matrix 5 bucket</t>
        </is>
      </c>
    </row>
    <row r="26">
      <c r="A26" s="10" t="inlineStr">
        <is>
          <t>TIER 4.J</t>
        </is>
      </c>
      <c r="B26" s="8" t="inlineStr">
        <is>
          <t>Term loan amortization</t>
        </is>
      </c>
      <c r="C26" s="8" t="inlineStr">
        <is>
          <t>driver.term_loan.initial_principal, .term_years, .rate, .amortization_profile, .year_in_amortization</t>
        </is>
      </c>
      <c r="D26" s="8" t="inlineStr">
        <is>
          <t>method-specific</t>
        </is>
      </c>
      <c r="E26" s="8" t="inlineStr">
        <is>
          <t>term_loan_amortization_linear/_annuity (M_DBT_001-002)</t>
        </is>
      </c>
      <c r="F26" s="8" t="inlineStr"/>
    </row>
    <row r="27">
      <c r="A27" s="9" t="inlineStr">
        <is>
          <t>TIER 4.K</t>
        </is>
      </c>
      <c r="B27" s="6" t="inlineStr">
        <is>
          <t>Warranty installed base</t>
        </is>
      </c>
      <c r="C27" s="6" t="inlineStr">
        <is>
          <t>driver.warranty.installed_base_value</t>
        </is>
      </c>
      <c r="D27" s="6" t="inlineStr">
        <is>
          <t>method-specific</t>
        </is>
      </c>
      <c r="E27" s="6" t="inlineStr">
        <is>
          <t>warranty_pct_installed_base (M_RAT_020)</t>
        </is>
      </c>
      <c r="F27" s="6" t="inlineStr"/>
    </row>
    <row r="28">
      <c r="A28" s="10" t="inlineStr">
        <is>
          <t>TIER 4.L</t>
        </is>
      </c>
      <c r="B28" s="8" t="inlineStr">
        <is>
          <t>Tax advanced (NOL)</t>
        </is>
      </c>
      <c r="C28" s="8" t="inlineStr">
        <is>
          <t>bs.tax.nol_carryforward.balance_open, pl.tax.permanent_differences (storico Y-3..Y0), nol_utilization_limit</t>
        </is>
      </c>
      <c r="D28" s="8" t="inlineStr">
        <is>
          <t>method-specific</t>
        </is>
      </c>
      <c r="E28" s="8" t="inlineStr">
        <is>
          <t>current_tax_with_nol (R_DRV_011-013)</t>
        </is>
      </c>
      <c r="F28" s="8" t="inlineStr">
        <is>
          <t>Catena tax advanced</t>
        </is>
      </c>
    </row>
    <row r="30" ht="22" customHeight="1">
      <c r="A30" s="3" t="inlineStr">
        <is>
          <t>Logica compute_required_data() — pseudocodice</t>
        </is>
      </c>
    </row>
    <row r="31">
      <c r="A31" s="21" t="inlineStr">
        <is>
          <t>required = TIER_0 + TIER_1</t>
        </is>
      </c>
    </row>
    <row r="32">
      <c r="A32" s="21" t="inlineStr">
        <is>
          <t>if tier_level in ['standard', 'advanced']: required += TIER_2</t>
        </is>
      </c>
    </row>
    <row r="33">
      <c r="A33" s="21" t="inlineStr">
        <is>
          <t>if tier_level == 'advanced': required += TIER_3 (base drivers)</t>
        </is>
      </c>
    </row>
    <row r="34">
      <c r="A34" s="21" t="inlineStr">
        <is>
          <t>if sector_pack == 'industrial': required += TIER_3 (volumes, BoM, headcount, capex per unit)</t>
        </is>
      </c>
    </row>
    <row r="35">
      <c r="A35" s="21" t="inlineStr">
        <is>
          <t>if sector_pack == 'saas': required += TIER_3 (subscription customers, ARPU) + TIER_4.A (ARR drivers)</t>
        </is>
      </c>
    </row>
    <row r="36">
      <c r="A36" s="21" t="inlineStr">
        <is>
          <t>if sector_pack == 'retail': required += TIER_3 (store count, sales per store, capex per unit)</t>
        </is>
      </c>
    </row>
    <row r="37">
      <c r="A37" s="21" t="inlineStr">
        <is>
          <t>if sector_pack == 'real_estate': required += TIER_3 (units, occupancy, rent_per_unit)</t>
        </is>
      </c>
    </row>
    <row r="38">
      <c r="A38" s="21" t="inlineStr">
        <is>
          <t>if sector_pack == 'services': required += TIER_3 (FTE, utilization, billing_rate) + TIER_4.E (backlog)</t>
        </is>
      </c>
    </row>
    <row r="39">
      <c r="A39" s="21" t="inlineStr">
        <is>
          <t>for voice_id, method_id in selected_methods: if method_id matches TIER 4.X: required += TIER_4.X</t>
        </is>
      </c>
    </row>
    <row r="40">
      <c r="A40" s="21" t="inlineStr">
        <is>
          <t>if tax_mode == 'advanced_with_nol': required += TIER_4.L</t>
        </is>
      </c>
    </row>
  </sheetData>
  <mergeCells count="13">
    <mergeCell ref="A38:F38"/>
    <mergeCell ref="A33:F33"/>
    <mergeCell ref="A36:F36"/>
    <mergeCell ref="A1:F1"/>
    <mergeCell ref="A37:F37"/>
    <mergeCell ref="A32:F32"/>
    <mergeCell ref="A31:F31"/>
    <mergeCell ref="A34:F34"/>
    <mergeCell ref="A35:F35"/>
    <mergeCell ref="A40:F40"/>
    <mergeCell ref="A3:F3"/>
    <mergeCell ref="A30:F30"/>
    <mergeCell ref="A39:F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0" customWidth="1" min="3" max="3"/>
    <col width="30" customWidth="1" min="4" max="4"/>
    <col width="14" customWidth="1" min="5" max="5"/>
    <col width="22" customWidth="1" min="6" max="6"/>
    <col width="35" customWidth="1" min="7" max="7"/>
  </cols>
  <sheetData>
    <row r="1" ht="28" customHeight="1">
      <c r="A1" s="1" t="inlineStr">
        <is>
          <t>Sector Packs — 5 pack settoriali + generic</t>
        </is>
      </c>
    </row>
    <row r="3" ht="22" customHeight="1">
      <c r="A3" s="3" t="inlineStr">
        <is>
          <t>Ogni pack overrida default methods, attiva/disattiva voci, richiede driver, raccomanda KPI, override validation ranges</t>
        </is>
      </c>
    </row>
    <row r="4" ht="22" customHeight="1">
      <c r="A4" s="3" t="inlineStr">
        <is>
          <t>Sezione A — Overview pack</t>
        </is>
      </c>
    </row>
    <row r="5" ht="32" customHeight="1">
      <c r="A5" s="4" t="inlineStr">
        <is>
          <t>sector_pack</t>
        </is>
      </c>
      <c r="B5" s="4" t="inlineStr">
        <is>
          <t>minimum_tier</t>
        </is>
      </c>
      <c r="C5" s="4" t="inlineStr">
        <is>
          <t>voci attive</t>
        </is>
      </c>
      <c r="D5" s="4" t="inlineStr">
        <is>
          <t>voci disabilitate</t>
        </is>
      </c>
      <c r="E5" s="4" t="inlineStr">
        <is>
          <t>method_overrides (esempi chiave)</t>
        </is>
      </c>
      <c r="F5" s="4" t="inlineStr">
        <is>
          <t>required_drivers</t>
        </is>
      </c>
      <c r="G5" s="4" t="inlineStr">
        <is>
          <t>validation_overrides</t>
        </is>
      </c>
    </row>
    <row r="6">
      <c r="A6" s="9" t="inlineStr">
        <is>
          <t>generic</t>
        </is>
      </c>
      <c r="B6" s="6" t="inlineStr">
        <is>
          <t>minimum</t>
        </is>
      </c>
      <c r="C6" s="6" t="inlineStr">
        <is>
          <t>tutte (207)</t>
        </is>
      </c>
      <c r="D6" s="6" t="inlineStr">
        <is>
          <t>nessuna</t>
        </is>
      </c>
      <c r="E6" s="6" t="inlineStr">
        <is>
          <t>Default pilot — nessun override</t>
        </is>
      </c>
      <c r="F6" s="6" t="inlineStr">
        <is>
          <t>(in funzione tier scelto)</t>
        </is>
      </c>
      <c r="G6" s="6" t="inlineStr">
        <is>
          <t>Default RP_xxx ranges</t>
        </is>
      </c>
    </row>
    <row r="7">
      <c r="A7" s="10" t="inlineStr">
        <is>
          <t>industrial</t>
        </is>
      </c>
      <c r="B7" s="8" t="inlineStr">
        <is>
          <t>advanced</t>
        </is>
      </c>
      <c r="C7" s="8" t="inlineStr">
        <is>
          <t>207</t>
        </is>
      </c>
      <c r="D7" s="8" t="inlineStr">
        <is>
          <t>subscription/license/usage_based, BoM ottenibile</t>
        </is>
      </c>
      <c r="E7" s="8" t="inlineStr">
        <is>
          <t>pl.rev.gross.product_sales: volume_price | pl.cogs.materials.raw: bom_input_cost | pl.cogs.labour.direct: variable_fixed_split | inventory.wip: inventory_production_cycle_days | bs.fa.tangible.expansion_capex: capex_per_unit | warranty: warranty_pct_installed_base</t>
        </is>
      </c>
      <c r="F7" s="8" t="inlineStr">
        <is>
          <t>production_volume, capacity, capacity_utilization, BoM detail, headcount production, installed_base_value</t>
        </is>
      </c>
      <c r="G7" s="8" t="inlineStr">
        <is>
          <t>RP_002 gross_margin: -100% .. +60% | RP_004 DSO: 0..180 | RP_005 DIO_total: 0..365 | RP_008 capex_intensity: 0%..30%</t>
        </is>
      </c>
    </row>
    <row r="8">
      <c r="A8" s="9" t="inlineStr">
        <is>
          <t>saas</t>
        </is>
      </c>
      <c r="B8" s="6" t="inlineStr">
        <is>
          <t>standard</t>
        </is>
      </c>
      <c r="C8" s="6" t="inlineStr">
        <is>
          <t>subscription, R&amp;D capitalized, deferred revenue</t>
        </is>
      </c>
      <c r="D8" s="6" t="inlineStr">
        <is>
          <t>warranty (installed_base), inventory.wip/finished, project_contract, energy_production, investment_property</t>
        </is>
      </c>
      <c r="E8" s="6" t="inlineStr">
        <is>
          <t>pl.rev.gross.subscription: arr_bridge (M_BRG_002) | pl.cogs.subcontracting: pct_net_revenue (cloud) | pl.opex.sm.marketing_performance: pct_net_revenue | bs.fa.intangible.software_capex: pct_net_revenue | bs.nwc.contract_liabilities: days_target | warranty: warranty_rate_revenue=0</t>
        </is>
      </c>
      <c r="F8" s="6" t="inlineStr">
        <is>
          <t>saas.arr_y0, new_arr, expansion_arr, contraction_arr, churn_arr, gross_churn_rate, NRR target</t>
        </is>
      </c>
      <c r="G8" s="6" t="inlineStr">
        <is>
          <t>RP_002 gross_margin: 50% .. 90% | RP_003 ebitda_margin: -50% .. +50% | RP_004 DSO: 0..120 | new KPI: NRR &gt; 100% target</t>
        </is>
      </c>
    </row>
    <row r="9">
      <c r="A9" s="10" t="inlineStr">
        <is>
          <t>retail</t>
        </is>
      </c>
      <c r="B9" s="8" t="inlineStr">
        <is>
          <t>standard</t>
        </is>
      </c>
      <c r="C9" s="8" t="inlineStr">
        <is>
          <t>product_sales (store-driven), inventory finished/raw</t>
        </is>
      </c>
      <c r="D9" s="8" t="inlineStr">
        <is>
          <t>subscription/license/usage_based, project_contract, BoM industriale</t>
        </is>
      </c>
      <c r="E9" s="8" t="inlineStr">
        <is>
          <t>pl.rev.gross.product_sales: capacity_utilization_price (store_count × sales_per_store) | inventory.finished: days_target | inventory.raw=0 | bs.fa.rou.new_contracts: rou_new_leases_per_unit | expansion_capex: capex_per_unit</t>
        </is>
      </c>
      <c r="F9" s="8" t="inlineStr">
        <is>
          <t>store_count_y0, new_stores, sales_per_store, lease_per_store, capex_per_store</t>
        </is>
      </c>
      <c r="G9" s="8" t="inlineStr">
        <is>
          <t>RP_002 gross_margin: 20% .. 60% | RP_004 DSO: 0..30 | RP_005 DIO finished: 30..180 | RP_006 DPO: 30..120</t>
        </is>
      </c>
    </row>
    <row r="10">
      <c r="A10" s="9" t="inlineStr">
        <is>
          <t>real_estate</t>
        </is>
      </c>
      <c r="B10" s="6" t="inlineStr">
        <is>
          <t>standard</t>
        </is>
      </c>
      <c r="C10" s="6" t="inlineStr">
        <is>
          <t>rental, investment_property (FV), maintenance_capex, fv_revaluation</t>
        </is>
      </c>
      <c r="D10" s="6" t="inlineStr">
        <is>
          <t>product_sales/subscription/license/usage_based, BoM, COGS materials/labour, warranty</t>
        </is>
      </c>
      <c r="E10" s="6" t="inlineStr">
        <is>
          <t>pl.rev.gross.rental: capacity_utilization_price (units × occupancy × rent) | bs.fa.investment_property.improvements: capex_pct_revenue | bs.fa.investment_property.fv_revaluation: manual_zero (default conservativo)</t>
        </is>
      </c>
      <c r="F10" s="6" t="inlineStr">
        <is>
          <t>units_total, occupancy_rate, rent_per_unit, capex_per_unit</t>
        </is>
      </c>
      <c r="G10" s="6" t="inlineStr">
        <is>
          <t>RP_002 gross_margin: 60% .. 95% | RP_005 inventory: max 30 (negligible) | KPI custom: rental_yield 3% .. 12%</t>
        </is>
      </c>
    </row>
    <row r="11">
      <c r="A11" s="10" t="inlineStr">
        <is>
          <t>services</t>
        </is>
      </c>
      <c r="B11" s="8" t="inlineStr">
        <is>
          <t>standard</t>
        </is>
      </c>
      <c r="C11" s="8" t="inlineStr">
        <is>
          <t>service_revenue, project_contract, backlog_conversion, headcount-driven</t>
        </is>
      </c>
      <c r="D11" s="8" t="inlineStr">
        <is>
          <t>product_sales (no), inventory raw/wip/finished, BoM, warranty</t>
        </is>
      </c>
      <c r="E11" s="8" t="inlineStr">
        <is>
          <t>pl.rev.gross.service_revenue: headcount_unit_cost (FTE × utilization × rate) | pl.rev.gross.project_contract: backlog_conversion | bs.nwc.contract_assets: days_target | pl.provisions.legal_other: weighted_exposure (M_PRB_002)</t>
        </is>
      </c>
      <c r="F11" s="8" t="inlineStr">
        <is>
          <t>fte_billable, utilization_rate, billing_rate, backlog, order_intake, conversion_rate_backlog</t>
        </is>
      </c>
      <c r="G11" s="8" t="inlineStr">
        <is>
          <t>RP_002 gross_margin: 30% .. 70% | RP_004 DSO: 30..120 | RP_005 DIO: 0..30 (negligible)</t>
        </is>
      </c>
    </row>
    <row r="13" ht="22" customHeight="1">
      <c r="A13" s="3" t="inlineStr">
        <is>
          <t>Sezione B — KPI custom sector-specific (14 KPI aggiuntivi)</t>
        </is>
      </c>
    </row>
    <row r="14" ht="32" customHeight="1">
      <c r="A14" s="4" t="inlineStr">
        <is>
          <t>pack</t>
        </is>
      </c>
      <c r="B14" s="4" t="inlineStr">
        <is>
          <t>kpi_id</t>
        </is>
      </c>
      <c r="C14" s="4" t="inlineStr">
        <is>
          <t>numerator</t>
        </is>
      </c>
      <c r="D14" s="4" t="inlineStr">
        <is>
          <t>denominator</t>
        </is>
      </c>
      <c r="E14" s="4" t="inlineStr">
        <is>
          <t>unit</t>
        </is>
      </c>
      <c r="F14" s="4" t="inlineStr">
        <is>
          <t>validation_range</t>
        </is>
      </c>
      <c r="G14" s="4" t="inlineStr">
        <is>
          <t>note</t>
        </is>
      </c>
    </row>
    <row r="15">
      <c r="A15" s="6" t="inlineStr">
        <is>
          <t>industrial</t>
        </is>
      </c>
      <c r="B15" s="9" t="inlineStr">
        <is>
          <t>kpi.industrial.production_volume</t>
        </is>
      </c>
      <c r="C15" s="6" t="inlineStr">
        <is>
          <t>driver.production_volume</t>
        </is>
      </c>
      <c r="D15" s="6" t="inlineStr">
        <is>
          <t>—</t>
        </is>
      </c>
      <c r="E15" s="6" t="inlineStr">
        <is>
          <t>units</t>
        </is>
      </c>
      <c r="F15" s="6" t="inlineStr">
        <is>
          <t>—</t>
        </is>
      </c>
      <c r="G15" s="6" t="inlineStr">
        <is>
          <t>Volume per period</t>
        </is>
      </c>
    </row>
    <row r="16">
      <c r="A16" s="8" t="inlineStr">
        <is>
          <t>industrial</t>
        </is>
      </c>
      <c r="B16" s="10" t="inlineStr">
        <is>
          <t>kpi.industrial.capacity_utilization</t>
        </is>
      </c>
      <c r="C16" s="8" t="inlineStr">
        <is>
          <t>driver.production_volume</t>
        </is>
      </c>
      <c r="D16" s="8" t="inlineStr">
        <is>
          <t>driver.capacity</t>
        </is>
      </c>
      <c r="E16" s="8" t="inlineStr">
        <is>
          <t>pct</t>
        </is>
      </c>
      <c r="F16" s="8" t="inlineStr">
        <is>
          <t>60%-95%</t>
        </is>
      </c>
      <c r="G16" s="8" t="inlineStr"/>
    </row>
    <row r="17">
      <c r="A17" s="6" t="inlineStr">
        <is>
          <t>industrial</t>
        </is>
      </c>
      <c r="B17" s="9" t="inlineStr">
        <is>
          <t>kpi.industrial.unit_cost_avg</t>
        </is>
      </c>
      <c r="C17" s="6" t="inlineStr">
        <is>
          <t>abs(pl.cogs.materials.raw)</t>
        </is>
      </c>
      <c r="D17" s="6" t="inlineStr">
        <is>
          <t>driver.production_volume</t>
        </is>
      </c>
      <c r="E17" s="6" t="inlineStr">
        <is>
          <t>eur</t>
        </is>
      </c>
      <c r="F17" s="6" t="inlineStr">
        <is>
          <t>—</t>
        </is>
      </c>
      <c r="G17" s="6" t="inlineStr"/>
    </row>
    <row r="18">
      <c r="A18" s="8" t="inlineStr">
        <is>
          <t>industrial</t>
        </is>
      </c>
      <c r="B18" s="10" t="inlineStr">
        <is>
          <t>kpi.industrial.warranty_balance_pct_installed_base</t>
        </is>
      </c>
      <c r="C18" s="8" t="inlineStr">
        <is>
          <t>abs(warranty.balance)</t>
        </is>
      </c>
      <c r="D18" s="8" t="inlineStr">
        <is>
          <t>driver.installed_base_value</t>
        </is>
      </c>
      <c r="E18" s="8" t="inlineStr">
        <is>
          <t>pct</t>
        </is>
      </c>
      <c r="F18" s="8" t="inlineStr">
        <is>
          <t>0.5%-5%</t>
        </is>
      </c>
      <c r="G18" s="8" t="inlineStr"/>
    </row>
    <row r="19">
      <c r="A19" s="6" t="inlineStr">
        <is>
          <t>saas</t>
        </is>
      </c>
      <c r="B19" s="9" t="inlineStr">
        <is>
          <t>kpi.saas.nrr (target &gt;= 100%)</t>
        </is>
      </c>
      <c r="C19" s="6" t="inlineStr">
        <is>
          <t>(arr + expansion - contr - churn)</t>
        </is>
      </c>
      <c r="D19" s="6" t="inlineStr">
        <is>
          <t>arr_prior</t>
        </is>
      </c>
      <c r="E19" s="6" t="inlineStr">
        <is>
          <t>ratio</t>
        </is>
      </c>
      <c r="F19" s="6" t="inlineStr">
        <is>
          <t>1.00-1.50</t>
        </is>
      </c>
      <c r="G19" s="6" t="inlineStr">
        <is>
          <t>Best-in-class &gt; 1.20</t>
        </is>
      </c>
    </row>
    <row r="20">
      <c r="A20" s="8" t="inlineStr">
        <is>
          <t>saas</t>
        </is>
      </c>
      <c r="B20" s="10" t="inlineStr">
        <is>
          <t>kpi.saas.grr (target &gt;= 90%)</t>
        </is>
      </c>
      <c r="C20" s="8" t="inlineStr">
        <is>
          <t>(arr - contr - churn)</t>
        </is>
      </c>
      <c r="D20" s="8" t="inlineStr">
        <is>
          <t>arr_prior</t>
        </is>
      </c>
      <c r="E20" s="8" t="inlineStr">
        <is>
          <t>ratio</t>
        </is>
      </c>
      <c r="F20" s="8" t="inlineStr">
        <is>
          <t>0.85-0.99</t>
        </is>
      </c>
      <c r="G20" s="8" t="inlineStr">
        <is>
          <t>Best-in-class &gt; 0.95</t>
        </is>
      </c>
    </row>
    <row r="21">
      <c r="A21" s="6" t="inlineStr">
        <is>
          <t>saas</t>
        </is>
      </c>
      <c r="B21" s="9" t="inlineStr">
        <is>
          <t>kpi.saas.gross_churn_rate (target &lt;= 10%)</t>
        </is>
      </c>
      <c r="C21" s="6" t="inlineStr">
        <is>
          <t>driver.saas.churn_arr</t>
        </is>
      </c>
      <c r="D21" s="6" t="inlineStr">
        <is>
          <t>arr_prior</t>
        </is>
      </c>
      <c r="E21" s="6" t="inlineStr">
        <is>
          <t>pct</t>
        </is>
      </c>
      <c r="F21" s="6" t="inlineStr">
        <is>
          <t>1%-15%</t>
        </is>
      </c>
      <c r="G21" s="6" t="inlineStr"/>
    </row>
    <row r="22">
      <c r="A22" s="8" t="inlineStr">
        <is>
          <t>retail</t>
        </is>
      </c>
      <c r="B22" s="10" t="inlineStr">
        <is>
          <t>kpi.retail.sales_per_store</t>
        </is>
      </c>
      <c r="C22" s="8" t="inlineStr">
        <is>
          <t>pl.rev.gross.product_sales</t>
        </is>
      </c>
      <c r="D22" s="8" t="inlineStr">
        <is>
          <t>driver.store_count</t>
        </is>
      </c>
      <c r="E22" s="8" t="inlineStr">
        <is>
          <t>eur</t>
        </is>
      </c>
      <c r="F22" s="8" t="inlineStr">
        <is>
          <t>—</t>
        </is>
      </c>
      <c r="G22" s="8" t="inlineStr"/>
    </row>
    <row r="23">
      <c r="A23" s="6" t="inlineStr">
        <is>
          <t>retail</t>
        </is>
      </c>
      <c r="B23" s="9" t="inlineStr">
        <is>
          <t>kpi.retail.same_store_sales_growth</t>
        </is>
      </c>
      <c r="C23" s="6" t="inlineStr">
        <is>
          <t>(rev[t]-rev[t-1] mature stores)</t>
        </is>
      </c>
      <c r="D23" s="6" t="inlineStr">
        <is>
          <t>rev[t-1]</t>
        </is>
      </c>
      <c r="E23" s="6" t="inlineStr">
        <is>
          <t>pct</t>
        </is>
      </c>
      <c r="F23" s="6" t="inlineStr">
        <is>
          <t>-15% .. +25%</t>
        </is>
      </c>
      <c r="G23" s="6" t="inlineStr"/>
    </row>
    <row r="24">
      <c r="A24" s="8" t="inlineStr">
        <is>
          <t>real_estate</t>
        </is>
      </c>
      <c r="B24" s="10" t="inlineStr">
        <is>
          <t>kpi.realestate.occupancy_rate</t>
        </is>
      </c>
      <c r="C24" s="8" t="inlineStr">
        <is>
          <t>driver.occupancy</t>
        </is>
      </c>
      <c r="D24" s="8" t="inlineStr">
        <is>
          <t>—</t>
        </is>
      </c>
      <c r="E24" s="8" t="inlineStr">
        <is>
          <t>pct</t>
        </is>
      </c>
      <c r="F24" s="8" t="inlineStr">
        <is>
          <t>70%-100%</t>
        </is>
      </c>
      <c r="G24" s="8" t="inlineStr"/>
    </row>
    <row r="25">
      <c r="A25" s="6" t="inlineStr">
        <is>
          <t>real_estate</t>
        </is>
      </c>
      <c r="B25" s="9" t="inlineStr">
        <is>
          <t>kpi.realestate.rent_per_unit</t>
        </is>
      </c>
      <c r="C25" s="6" t="inlineStr">
        <is>
          <t>pl.rev.gross.rental</t>
        </is>
      </c>
      <c r="D25" s="6" t="inlineStr">
        <is>
          <t>driver.units_total</t>
        </is>
      </c>
      <c r="E25" s="6" t="inlineStr">
        <is>
          <t>eur</t>
        </is>
      </c>
      <c r="F25" s="6" t="inlineStr">
        <is>
          <t>—</t>
        </is>
      </c>
      <c r="G25" s="6" t="inlineStr"/>
    </row>
    <row r="26">
      <c r="A26" s="8" t="inlineStr">
        <is>
          <t>real_estate</t>
        </is>
      </c>
      <c r="B26" s="10" t="inlineStr">
        <is>
          <t>kpi.realestate.rental_yield</t>
        </is>
      </c>
      <c r="C26" s="8" t="inlineStr">
        <is>
          <t>pl.rev.gross.rental</t>
        </is>
      </c>
      <c r="D26" s="8" t="inlineStr">
        <is>
          <t>investment_property.gross_avg</t>
        </is>
      </c>
      <c r="E26" s="8" t="inlineStr">
        <is>
          <t>pct</t>
        </is>
      </c>
      <c r="F26" s="8" t="inlineStr">
        <is>
          <t>3%-12%</t>
        </is>
      </c>
      <c r="G26" s="8" t="inlineStr"/>
    </row>
    <row r="27">
      <c r="A27" s="6" t="inlineStr">
        <is>
          <t>services</t>
        </is>
      </c>
      <c r="B27" s="9" t="inlineStr">
        <is>
          <t>kpi.services.utilization_rate</t>
        </is>
      </c>
      <c r="C27" s="6" t="inlineStr">
        <is>
          <t>driver.billable_hours</t>
        </is>
      </c>
      <c r="D27" s="6" t="inlineStr">
        <is>
          <t>(fte × working_days × 8)</t>
        </is>
      </c>
      <c r="E27" s="6" t="inlineStr">
        <is>
          <t>pct</t>
        </is>
      </c>
      <c r="F27" s="6" t="inlineStr">
        <is>
          <t>60%-90%</t>
        </is>
      </c>
      <c r="G27" s="6" t="inlineStr"/>
    </row>
    <row r="28">
      <c r="A28" s="8" t="inlineStr">
        <is>
          <t>services</t>
        </is>
      </c>
      <c r="B28" s="10" t="inlineStr">
        <is>
          <t>kpi.services.revenue_per_fte</t>
        </is>
      </c>
      <c r="C28" s="8" t="inlineStr">
        <is>
          <t>pl.rev.gross.service_revenue</t>
        </is>
      </c>
      <c r="D28" s="8" t="inlineStr">
        <is>
          <t>driver.fte_billable</t>
        </is>
      </c>
      <c r="E28" s="8" t="inlineStr">
        <is>
          <t>eur</t>
        </is>
      </c>
      <c r="F28" s="8" t="inlineStr">
        <is>
          <t>—</t>
        </is>
      </c>
      <c r="G28" s="8" t="inlineStr"/>
    </row>
    <row r="30" ht="22" customHeight="1">
      <c r="A30" s="3" t="inlineStr">
        <is>
          <t>Sezione C — Logica apply_sector_pack() — pseudocodice</t>
        </is>
      </c>
    </row>
    <row r="31">
      <c r="A31" s="21" t="inlineStr">
        <is>
          <t>def apply_sector_pack(model, pack_id):</t>
        </is>
      </c>
    </row>
    <row r="32">
      <c r="A32" s="21" t="inlineStr">
        <is>
          <t xml:space="preserve">    pack = sector_packs[pack_id]</t>
        </is>
      </c>
    </row>
    <row r="33">
      <c r="A33" s="21" t="inlineStr"/>
    </row>
    <row r="34">
      <c r="A34" s="21" t="inlineStr">
        <is>
          <t xml:space="preserve">    # 1. Disabilita voci non applicabili</t>
        </is>
      </c>
    </row>
    <row r="35">
      <c r="A35" s="21" t="inlineStr">
        <is>
          <t xml:space="preserve">    for voice_id in pack.disabled_voices:</t>
        </is>
      </c>
    </row>
    <row r="36">
      <c r="A36" s="21" t="inlineStr">
        <is>
          <t xml:space="preserve">        model.voices[voice_id].active = False</t>
        </is>
      </c>
    </row>
    <row r="37">
      <c r="A37" s="21" t="inlineStr">
        <is>
          <t xml:space="preserve">        model.voices[voice_id].method_selected = manual_zero</t>
        </is>
      </c>
    </row>
    <row r="38">
      <c r="A38" s="21" t="inlineStr"/>
    </row>
    <row r="39">
      <c r="A39" s="21" t="inlineStr">
        <is>
          <t xml:space="preserve">    # 2. Override default methods</t>
        </is>
      </c>
    </row>
    <row r="40">
      <c r="A40" s="21" t="inlineStr">
        <is>
          <t xml:space="preserve">    for voice_id, method_id in pack.method_overrides.items():</t>
        </is>
      </c>
    </row>
    <row r="41">
      <c r="A41" s="21" t="inlineStr">
        <is>
          <t xml:space="preserve">        if voice_id in model.voices:</t>
        </is>
      </c>
    </row>
    <row r="42">
      <c r="A42" s="21" t="inlineStr">
        <is>
          <t xml:space="preserve">            model.voices[voice_id].default_method = method_id</t>
        </is>
      </c>
    </row>
    <row r="43">
      <c r="A43" s="21" t="inlineStr"/>
    </row>
    <row r="44">
      <c r="A44" s="21" t="inlineStr">
        <is>
          <t xml:space="preserve">    # 3. Override validation ranges</t>
        </is>
      </c>
    </row>
    <row r="45">
      <c r="A45" s="21" t="inlineStr">
        <is>
          <t xml:space="preserve">    for rule_id, ranges in pack.validation_overrides.items():</t>
        </is>
      </c>
    </row>
    <row r="46">
      <c r="A46" s="21" t="inlineStr">
        <is>
          <t xml:space="preserve">        validation_rules[rule_id].validation_range = ranges</t>
        </is>
      </c>
    </row>
    <row r="47">
      <c r="A47" s="21" t="inlineStr"/>
    </row>
    <row r="48">
      <c r="A48" s="21" t="inlineStr">
        <is>
          <t xml:space="preserve">    # 4. Add sector-specific KPIs</t>
        </is>
      </c>
    </row>
    <row r="49">
      <c r="A49" s="21" t="inlineStr">
        <is>
          <t xml:space="preserve">    for kpi_id in pack.recommended_kpis:</t>
        </is>
      </c>
    </row>
    <row r="50">
      <c r="A50" s="21" t="inlineStr">
        <is>
          <t xml:space="preserve">        kpi_registry[kpi_id].active = True</t>
        </is>
      </c>
    </row>
    <row r="51">
      <c r="A51" s="21" t="inlineStr"/>
    </row>
    <row r="52">
      <c r="A52" s="21" t="inlineStr">
        <is>
          <t xml:space="preserve">    # 5. Validation di coerenza pack al boot</t>
        </is>
      </c>
    </row>
    <row r="53">
      <c r="A53" s="21" t="inlineStr">
        <is>
          <t xml:space="preserve">    validate_pack_consistency(model, pack)</t>
        </is>
      </c>
    </row>
  </sheetData>
  <mergeCells count="28">
    <mergeCell ref="A32:G32"/>
    <mergeCell ref="A53:G53"/>
    <mergeCell ref="A35:G35"/>
    <mergeCell ref="A4:G4"/>
    <mergeCell ref="A38:G38"/>
    <mergeCell ref="A52:G52"/>
    <mergeCell ref="A43:G43"/>
    <mergeCell ref="A13:G13"/>
    <mergeCell ref="A44:G44"/>
    <mergeCell ref="A40:G40"/>
    <mergeCell ref="A31:G31"/>
    <mergeCell ref="A39:G39"/>
    <mergeCell ref="A34:G34"/>
    <mergeCell ref="A48:G48"/>
    <mergeCell ref="A30:G30"/>
    <mergeCell ref="A49:G49"/>
    <mergeCell ref="A51:G51"/>
    <mergeCell ref="A45:G45"/>
    <mergeCell ref="A36:G36"/>
    <mergeCell ref="A1:G1"/>
    <mergeCell ref="A41:G41"/>
    <mergeCell ref="A37:G37"/>
    <mergeCell ref="A46:G46"/>
    <mergeCell ref="A3:G3"/>
    <mergeCell ref="A50:G50"/>
    <mergeCell ref="A33:G33"/>
    <mergeCell ref="A47:G47"/>
    <mergeCell ref="A42:G4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20" customWidth="1" min="4" max="4"/>
    <col width="14" customWidth="1" min="5" max="5"/>
    <col width="22" customWidth="1" min="6" max="6"/>
    <col width="14" customWidth="1" min="7" max="7"/>
    <col width="35" customWidth="1" min="8" max="8"/>
  </cols>
  <sheetData>
    <row r="1" ht="28" customHeight="1">
      <c r="A1" s="1" t="inlineStr">
        <is>
          <t>Approximation Log — 15 entries con stima errore e materiality</t>
        </is>
      </c>
    </row>
    <row r="3" ht="22" customHeight="1">
      <c r="A3" s="3" t="inlineStr">
        <is>
          <t>Errore residuo cumulato: &lt;5% NI, &lt;0.5% balance check, &lt;2% any KPI</t>
        </is>
      </c>
    </row>
    <row r="4" ht="32" customHeight="1">
      <c r="A4" s="4" t="inlineStr">
        <is>
          <t>apx_id</t>
        </is>
      </c>
      <c r="B4" s="4" t="inlineStr">
        <is>
          <t>area</t>
        </is>
      </c>
      <c r="C4" s="4" t="inlineStr">
        <is>
          <t>approssimazione</t>
        </is>
      </c>
      <c r="D4" s="4" t="inlineStr">
        <is>
          <t>stima errore</t>
        </is>
      </c>
      <c r="E4" s="4" t="inlineStr">
        <is>
          <t>materiality</t>
        </is>
      </c>
      <c r="F4" s="4" t="inlineStr">
        <is>
          <t>detection_rule</t>
        </is>
      </c>
      <c r="G4" s="4" t="inlineStr">
        <is>
          <t>improvement_id</t>
        </is>
      </c>
      <c r="H4" s="4" t="inlineStr">
        <is>
          <t>rationale</t>
        </is>
      </c>
    </row>
    <row r="5">
      <c r="A5" s="9" t="inlineStr">
        <is>
          <t>APX_001</t>
        </is>
      </c>
      <c r="B5" s="6" t="inlineStr">
        <is>
          <t>IFRS 15</t>
        </is>
      </c>
      <c r="C5" s="6" t="inlineStr">
        <is>
          <t>NWC denominator residuo: rev.net.proxy in E3 (esclude IFRS 15 adjustments) → DSO/contract assets/contract liab calcolati su proxy</t>
        </is>
      </c>
      <c r="D5" s="6" t="inlineStr">
        <is>
          <t>&lt;1% sul valore NWC</t>
        </is>
      </c>
      <c r="E5" s="6" t="inlineStr">
        <is>
          <t>low</t>
        </is>
      </c>
      <c r="F5" s="6" t="inlineStr">
        <is>
          <t>CQ_001</t>
        </is>
      </c>
      <c r="G5" s="9" t="inlineStr">
        <is>
          <t>IMP_007</t>
        </is>
      </c>
      <c r="H5" s="6" t="inlineStr">
        <is>
          <t>Sequenziamento E3→E3.1; valore esatto in E3.1</t>
        </is>
      </c>
    </row>
    <row r="6">
      <c r="A6" s="10" t="inlineStr">
        <is>
          <t>APX_002</t>
        </is>
      </c>
      <c r="B6" s="8" t="inlineStr">
        <is>
          <t>Inventory</t>
        </is>
      </c>
      <c r="C6" s="8" t="inlineStr">
        <is>
          <t>DIO denominator approximation: inventory.raw uses pl.cogs.materials.raw (no logistics), inventory.wip/finished use pl.cogs.total esclusi inventory_writeoff e wip_capitalization</t>
        </is>
      </c>
      <c r="D6" s="8" t="inlineStr">
        <is>
          <t>&lt;0.5% sul valore inventory</t>
        </is>
      </c>
      <c r="E6" s="8" t="inlineStr">
        <is>
          <t>low</t>
        </is>
      </c>
      <c r="F6" s="8" t="inlineStr">
        <is>
          <t>—</t>
        </is>
      </c>
      <c r="G6" s="10" t="inlineStr">
        <is>
          <t>IMP_007</t>
        </is>
      </c>
      <c r="H6" s="8" t="inlineStr">
        <is>
          <t>Proxy COGS in E1, definitivo in E3</t>
        </is>
      </c>
    </row>
    <row r="7">
      <c r="A7" s="9" t="inlineStr">
        <is>
          <t>APX_003</t>
        </is>
      </c>
      <c r="B7" s="6" t="inlineStr">
        <is>
          <t>D&amp;A</t>
        </is>
      </c>
      <c r="C7" s="6" t="inlineStr">
        <is>
          <t>Mid-year convention senza vintage tracking: D&amp;A = max(0, gross_avg - non_depreciable) / useful_life</t>
        </is>
      </c>
      <c r="D7" s="6" t="inlineStr">
        <is>
          <t>&lt;2% sul D&amp;A annuo</t>
        </is>
      </c>
      <c r="E7" s="6" t="inlineStr">
        <is>
          <t>medium</t>
        </is>
      </c>
      <c r="F7" s="6" t="inlineStr">
        <is>
          <t>—</t>
        </is>
      </c>
      <c r="G7" s="9" t="inlineStr">
        <is>
          <t>IMP_001 (vintage)</t>
        </is>
      </c>
      <c r="H7" s="6" t="inlineStr">
        <is>
          <t>Approssimazione management standard, accettabile</t>
        </is>
      </c>
    </row>
    <row r="8">
      <c r="A8" s="10" t="inlineStr">
        <is>
          <t>APX_004</t>
        </is>
      </c>
      <c r="B8" s="8" t="inlineStr">
        <is>
          <t>Lease (IFRS 16)</t>
        </is>
      </c>
      <c r="C8" s="8" t="inlineStr">
        <is>
          <t>Tasso unico medio per portafoglio lease (lease_implicit_rate); no schedule per singolo contratto</t>
        </is>
      </c>
      <c r="D8" s="8" t="inlineStr">
        <is>
          <t>&lt;3% sul lease interest</t>
        </is>
      </c>
      <c r="E8" s="8" t="inlineStr">
        <is>
          <t>medium</t>
        </is>
      </c>
      <c r="F8" s="8" t="inlineStr">
        <is>
          <t>—</t>
        </is>
      </c>
      <c r="G8" s="10" t="inlineStr">
        <is>
          <t>IMP_006 (lease schedule)</t>
        </is>
      </c>
      <c r="H8" s="8" t="inlineStr">
        <is>
          <t>Approssimazione management; per portafoglio diversificato accettabile</t>
        </is>
      </c>
    </row>
    <row r="9">
      <c r="A9" s="9" t="inlineStr">
        <is>
          <t>APX_005</t>
        </is>
      </c>
      <c r="B9" s="6" t="inlineStr">
        <is>
          <t>Debt</t>
        </is>
      </c>
      <c r="C9" s="6" t="inlineStr">
        <is>
          <t>Cost of debt unico per categoria borrowings (term_loan, RCF, bonds); no rate per facility</t>
        </is>
      </c>
      <c r="D9" s="6" t="inlineStr">
        <is>
          <t>&lt;5% sul interest expense</t>
        </is>
      </c>
      <c r="E9" s="6" t="inlineStr">
        <is>
          <t>medium</t>
        </is>
      </c>
      <c r="F9" s="6" t="inlineStr">
        <is>
          <t>—</t>
        </is>
      </c>
      <c r="G9" s="9" t="inlineStr">
        <is>
          <t>IMP_009</t>
        </is>
      </c>
      <c r="H9" s="6" t="inlineStr">
        <is>
          <t>Per debt mix omogeneo accettabile</t>
        </is>
      </c>
    </row>
    <row r="10">
      <c r="A10" s="10" t="inlineStr">
        <is>
          <t>APX_006</t>
        </is>
      </c>
      <c r="B10" s="8" t="inlineStr">
        <is>
          <t>Cash</t>
        </is>
      </c>
      <c r="C10" s="8" t="inlineStr">
        <is>
          <t>Interest income calcolato su cash[t-1] (proxy) invece di balance medio (cash[t-1]+cash[t])/2</t>
        </is>
      </c>
      <c r="D10" s="8" t="inlineStr">
        <is>
          <t>&lt;1% del NI</t>
        </is>
      </c>
      <c r="E10" s="8" t="inlineStr">
        <is>
          <t>low</t>
        </is>
      </c>
      <c r="F10" s="8" t="inlineStr">
        <is>
          <t>CQ_002</t>
        </is>
      </c>
      <c r="G10" s="10" t="inlineStr">
        <is>
          <t>IMP_007</t>
        </is>
      </c>
      <c r="H10" s="8" t="inlineStr">
        <is>
          <t>Iterazione fixed-point evitata; check post-hoc in E8</t>
        </is>
      </c>
    </row>
    <row r="11">
      <c r="A11" s="9" t="inlineStr">
        <is>
          <t>APX_007</t>
        </is>
      </c>
      <c r="B11" s="6" t="inlineStr">
        <is>
          <t>Investment Property</t>
        </is>
      </c>
      <c r="C11" s="6" t="inlineStr">
        <is>
          <t>FV revaluation default a manual_zero (conservativo); FV solo se input esplicito utente</t>
        </is>
      </c>
      <c r="D11" s="6" t="inlineStr">
        <is>
          <t>Asimmetrico (errore = magnitudo FV)</t>
        </is>
      </c>
      <c r="E11" s="6" t="inlineStr">
        <is>
          <t>high (settoriale)</t>
        </is>
      </c>
      <c r="F11" s="6" t="inlineStr">
        <is>
          <t>—</t>
        </is>
      </c>
      <c r="G11" s="9" t="inlineStr">
        <is>
          <t>IMP_010</t>
        </is>
      </c>
      <c r="H11" s="6" t="inlineStr">
        <is>
          <t>Per real_estate: utente deve modellare esplicitamente</t>
        </is>
      </c>
    </row>
    <row r="12">
      <c r="A12" s="10" t="inlineStr">
        <is>
          <t>APX_008</t>
        </is>
      </c>
      <c r="B12" s="8" t="inlineStr">
        <is>
          <t>Tax differita</t>
        </is>
      </c>
      <c r="C12" s="8" t="inlineStr">
        <is>
          <t>deferred_tax_simplified: drift lineare lieve, no DTA/DTL strutturale per natura temporary difference</t>
        </is>
      </c>
      <c r="D12" s="8" t="inlineStr">
        <is>
          <t>&lt;2% sul tax.deferred</t>
        </is>
      </c>
      <c r="E12" s="8" t="inlineStr">
        <is>
          <t>medium</t>
        </is>
      </c>
      <c r="F12" s="8" t="inlineStr">
        <is>
          <t>—</t>
        </is>
      </c>
      <c r="G12" s="10" t="inlineStr">
        <is>
          <t>IMP_005 (modulo fiscale)</t>
        </is>
      </c>
      <c r="H12" s="8" t="inlineStr">
        <is>
          <t>Per business stabili accettabile; serve modulo fiscale completo per scenari complessi</t>
        </is>
      </c>
    </row>
    <row r="13">
      <c r="A13" s="9" t="inlineStr">
        <is>
          <t>APX_009</t>
        </is>
      </c>
      <c r="B13" s="6" t="inlineStr">
        <is>
          <t>Disposals fixed assets</t>
        </is>
      </c>
      <c r="C13" s="6" t="inlineStr">
        <is>
          <t>Vendita a NBV semplificata: gross e acc_depr ridotti pari pari, nessun plus/minus automatico</t>
        </is>
      </c>
      <c r="D13" s="6" t="inlineStr">
        <is>
          <t>Asimmetrico (errore = plus/minus reale)</t>
        </is>
      </c>
      <c r="E13" s="6" t="inlineStr">
        <is>
          <t>high se disposals significativi</t>
        </is>
      </c>
      <c r="F13" s="6" t="inlineStr">
        <is>
          <t>—</t>
        </is>
      </c>
      <c r="G13" s="9" t="inlineStr">
        <is>
          <t>IMP_001</t>
        </is>
      </c>
      <c r="H13" s="6" t="inlineStr">
        <is>
          <t>Plus/minus modellati separatamente in pl.other.non_operating_extraordinary</t>
        </is>
      </c>
    </row>
    <row r="14">
      <c r="A14" s="10" t="inlineStr">
        <is>
          <t>APX_010</t>
        </is>
      </c>
      <c r="B14" s="8" t="inlineStr">
        <is>
          <t>VAT</t>
        </is>
      </c>
      <c r="C14" s="8" t="inlineStr">
        <is>
          <t>VAT bilanci calcolati su periodi unpaid medi (avg_periods_unpaid_pay/rec), no schedule mensile</t>
        </is>
      </c>
      <c r="D14" s="8" t="inlineStr">
        <is>
          <t>&lt;2% sul saldo VAT</t>
        </is>
      </c>
      <c r="E14" s="8" t="inlineStr">
        <is>
          <t>low</t>
        </is>
      </c>
      <c r="F14" s="8" t="inlineStr">
        <is>
          <t>—</t>
        </is>
      </c>
      <c r="G14" s="10" t="inlineStr">
        <is>
          <t>IMP_016 (monthly granularity)</t>
        </is>
      </c>
      <c r="H14" s="8" t="inlineStr">
        <is>
          <t>Per gestione annuale accettabile</t>
        </is>
      </c>
    </row>
    <row r="15">
      <c r="A15" s="9" t="inlineStr">
        <is>
          <t>APX_011</t>
        </is>
      </c>
      <c r="B15" s="6" t="inlineStr">
        <is>
          <t>RCF</t>
        </is>
      </c>
      <c r="C15" s="6" t="inlineStr">
        <is>
          <t>Revolving credit facility: no plug automatico per fabbisogno cassa; movimento solo manuale</t>
        </is>
      </c>
      <c r="D15" s="6" t="inlineStr">
        <is>
          <t>Asimmetrico (cash gap non auto-plugged)</t>
        </is>
      </c>
      <c r="E15" s="6" t="inlineStr">
        <is>
          <t>high se cash negativo</t>
        </is>
      </c>
      <c r="F15" s="6" t="inlineStr">
        <is>
          <t>SC_006</t>
        </is>
      </c>
      <c r="G15" s="9" t="inlineStr">
        <is>
          <t>IMP_011 (RCF plug)</t>
        </is>
      </c>
      <c r="H15" s="6" t="inlineStr">
        <is>
          <t>Pilot: utente identifica fabbisogno e modella manualmente</t>
        </is>
      </c>
    </row>
    <row r="16">
      <c r="A16" s="10" t="inlineStr">
        <is>
          <t>APX_012</t>
        </is>
      </c>
      <c r="B16" s="8" t="inlineStr">
        <is>
          <t>Tax current</t>
        </is>
      </c>
      <c r="C16" s="8" t="inlineStr">
        <is>
          <t>tax_current_etr_simplified: max(0, ebt) × etr per evitare benefit fiscale automatico se EBT negativo (no NOL)</t>
        </is>
      </c>
      <c r="D16" s="8" t="inlineStr">
        <is>
          <t>Asimmetrico (mancato beneficio NOL)</t>
        </is>
      </c>
      <c r="E16" s="8" t="inlineStr">
        <is>
          <t>low se default; high se utente switcha advanced</t>
        </is>
      </c>
      <c r="F16" s="8" t="inlineStr">
        <is>
          <t>—</t>
        </is>
      </c>
      <c r="G16" s="10" t="inlineStr">
        <is>
          <t>—</t>
        </is>
      </c>
      <c r="H16" s="8" t="inlineStr">
        <is>
          <t>Estensione pilot v1.1: catena R_DRV_011-013 disponibile per advanced mode</t>
        </is>
      </c>
    </row>
    <row r="17">
      <c r="A17" s="9" t="inlineStr">
        <is>
          <t>APX_013</t>
        </is>
      </c>
      <c r="B17" s="6" t="inlineStr">
        <is>
          <t>EB &amp; lease accrued</t>
        </is>
      </c>
      <c r="C17" s="6" t="inlineStr">
        <is>
          <t>Sub-circolarità intra-fase risolte con proxy (escluso interest accrued/cost dal balance medio nel calcolo interest)</t>
        </is>
      </c>
      <c r="D17" s="6" t="inlineStr">
        <is>
          <t>&lt;0.25% (lease) e &lt;0.1% (EB)</t>
        </is>
      </c>
      <c r="E17" s="6" t="inlineStr">
        <is>
          <t>low</t>
        </is>
      </c>
      <c r="F17" s="6" t="inlineStr">
        <is>
          <t>—</t>
        </is>
      </c>
      <c r="G17" s="9" t="inlineStr">
        <is>
          <t>IMP_007</t>
        </is>
      </c>
      <c r="H17" s="6" t="inlineStr">
        <is>
          <t>Auto-include = rate^2, errore matematicamente trascurabile</t>
        </is>
      </c>
    </row>
    <row r="18">
      <c r="A18" s="10" t="inlineStr">
        <is>
          <t>APX_014</t>
        </is>
      </c>
      <c r="B18" s="8" t="inlineStr">
        <is>
          <t>Order intake / backlog</t>
        </is>
      </c>
      <c r="C18" s="8" t="inlineStr">
        <is>
          <t>Variabilità intake non modellata (deterministic forecast); no Monte Carlo / scenari</t>
        </is>
      </c>
      <c r="D18" s="8" t="inlineStr">
        <is>
          <t>Asimmetrico (volatility non catturata)</t>
        </is>
      </c>
      <c r="E18" s="8" t="inlineStr">
        <is>
          <t>medium per project businesses</t>
        </is>
      </c>
      <c r="F18" s="8" t="inlineStr">
        <is>
          <t>—</t>
        </is>
      </c>
      <c r="G18" s="10" t="inlineStr">
        <is>
          <t>IMP_015 (scenario engine)</t>
        </is>
      </c>
      <c r="H18" s="8" t="inlineStr">
        <is>
          <t>Approssimazione standard piano industriale base</t>
        </is>
      </c>
    </row>
    <row r="19">
      <c r="A19" s="9" t="inlineStr">
        <is>
          <t>APX_015</t>
        </is>
      </c>
      <c r="B19" s="6" t="inlineStr">
        <is>
          <t>Equity method</t>
        </is>
      </c>
      <c r="C19" s="6" t="inlineStr">
        <is>
          <t>manual_zero_placeholder per pl.equity_method_result; no roll-forward partecipazioni</t>
        </is>
      </c>
      <c r="D19" s="6" t="inlineStr">
        <is>
          <t>Materiale solo se equity method significativo</t>
        </is>
      </c>
      <c r="E19" s="6" t="inlineStr">
        <is>
          <t>high se gruppi</t>
        </is>
      </c>
      <c r="F19" s="6" t="inlineStr">
        <is>
          <t>—</t>
        </is>
      </c>
      <c r="G19" s="9" t="inlineStr">
        <is>
          <t>IMP_002 (multi-perimetro)</t>
        </is>
      </c>
      <c r="H19" s="6" t="inlineStr">
        <is>
          <t>Mono-perimetro pilot</t>
        </is>
      </c>
    </row>
    <row r="21" ht="22" customHeight="1">
      <c r="A21" s="3" t="inlineStr">
        <is>
          <t>Errore residuo cumulato (post-pilot v1.1)</t>
        </is>
      </c>
    </row>
    <row r="22">
      <c r="A22" s="20" t="inlineStr">
        <is>
          <t>• Net Income: errore stimato cumulato &lt;5% (assumendo nessun caso patologico singolo dominante)</t>
        </is>
      </c>
    </row>
    <row r="23">
      <c r="A23" s="20" t="inlineStr">
        <is>
          <t>• Balance check: &lt;0.5% (somma 6 circolarità minori, gestite con proxy/sequenziamento)</t>
        </is>
      </c>
    </row>
    <row r="24">
      <c r="A24" s="20" t="inlineStr">
        <is>
          <t>• KPI prospettici: &lt;2% per qualunque singolo KPI in regime stabile</t>
        </is>
      </c>
    </row>
    <row r="25">
      <c r="A25" s="20" t="inlineStr">
        <is>
          <t>• Casi patologici (errore alto asimmetrico): APX_007 (IP FV), APX_009 (disposals con plus/minus), APX_011 (RCF plug), APX_015 (equity method)</t>
        </is>
      </c>
    </row>
    <row r="26">
      <c r="A26" s="20" t="inlineStr">
        <is>
          <t>• Per i casi asimmetrici, l'utente è responsabile di modellare esplicitamente i fenomeni quando significativi</t>
        </is>
      </c>
    </row>
  </sheetData>
  <mergeCells count="8">
    <mergeCell ref="A3:H3"/>
    <mergeCell ref="A26:H26"/>
    <mergeCell ref="A21:H21"/>
    <mergeCell ref="A25:H25"/>
    <mergeCell ref="A24:H24"/>
    <mergeCell ref="A1:H1"/>
    <mergeCell ref="A23:H23"/>
    <mergeCell ref="A22:H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50" customWidth="1" min="4" max="4"/>
    <col width="14" customWidth="1" min="5" max="5"/>
    <col width="35" customWidth="1" min="6" max="6"/>
    <col width="22" customWidth="1" min="7" max="7"/>
    <col width="30" customWidth="1" min="8" max="8"/>
  </cols>
  <sheetData>
    <row r="1" ht="28" customHeight="1">
      <c r="A1" s="1" t="inlineStr">
        <is>
          <t>Pilot Scope Exclusions (16) + Improvement Roadmap (16)</t>
        </is>
      </c>
    </row>
    <row r="3" ht="22" customHeight="1">
      <c r="A3" s="3" t="inlineStr">
        <is>
          <t>Sezione A — Pilot Scope Exclusions: cosa NON è gestito dal pilot e workaround</t>
        </is>
      </c>
    </row>
    <row r="4" ht="32" customHeight="1">
      <c r="A4" s="4" t="inlineStr">
        <is>
          <t>exc_id</t>
        </is>
      </c>
      <c r="B4" s="4" t="inlineStr">
        <is>
          <t>area</t>
        </is>
      </c>
      <c r="C4" s="4" t="inlineStr">
        <is>
          <t>esclusione</t>
        </is>
      </c>
      <c r="D4" s="4" t="inlineStr">
        <is>
          <t>workaround pilot</t>
        </is>
      </c>
      <c r="E4" s="4" t="inlineStr">
        <is>
          <t>metodo placeholder</t>
        </is>
      </c>
      <c r="F4" s="4" t="inlineStr">
        <is>
          <t>voci impattate</t>
        </is>
      </c>
      <c r="G4" s="4" t="inlineStr">
        <is>
          <t>rationale</t>
        </is>
      </c>
      <c r="H4" s="4" t="inlineStr">
        <is>
          <t>improvement_id</t>
        </is>
      </c>
    </row>
    <row r="5">
      <c r="A5" s="9" t="inlineStr">
        <is>
          <t>EXC_001</t>
        </is>
      </c>
      <c r="B5" s="6" t="inlineStr">
        <is>
          <t>M&amp;A</t>
        </is>
      </c>
      <c r="C5" s="6" t="inlineStr">
        <is>
          <t>Acquisizioni: nessun engine M&amp;A (no PPA, no goodwill calculation, no consolidation post-deal)</t>
        </is>
      </c>
      <c r="D5" s="6" t="inlineStr">
        <is>
          <t>Utente modella manualmente: capex_acquired_via_ma, debt_assumed_via_ma, equity issued, goodwill</t>
        </is>
      </c>
      <c r="E5" s="6" t="inlineStr">
        <is>
          <t>manual_zero su tutte voci .acquired_via_ma e .assumed_via_ma</t>
        </is>
      </c>
      <c r="F5" s="6" t="inlineStr">
        <is>
          <t>8 voci placeholder + bs.equity.capital.acquisition_consideration</t>
        </is>
      </c>
      <c r="G5" s="6" t="inlineStr">
        <is>
          <t>Engine M&amp;A complesso, fuori scope pilot</t>
        </is>
      </c>
      <c r="H5" s="9" t="inlineStr">
        <is>
          <t>IMP_001</t>
        </is>
      </c>
    </row>
    <row r="6">
      <c r="A6" s="10" t="inlineStr">
        <is>
          <t>EXC_002</t>
        </is>
      </c>
      <c r="B6" s="8" t="inlineStr">
        <is>
          <t>Carve-out</t>
        </is>
      </c>
      <c r="C6" s="8" t="inlineStr">
        <is>
          <t>Cessioni di rami d'azienda: no plus/minus automatico, no allocation</t>
        </is>
      </c>
      <c r="D6" s="8" t="inlineStr">
        <is>
          <t>Utente modella manualmente: divested_via_carve_out (asset, debt), spin_off_distribution</t>
        </is>
      </c>
      <c r="E6" s="8" t="inlineStr">
        <is>
          <t>manual_zero su voci .divested_via_carve_out e .spin_off_distribution</t>
        </is>
      </c>
      <c r="F6" s="8" t="inlineStr">
        <is>
          <t>4 voci placeholder + bs.equity.capital.spin_off_distribution</t>
        </is>
      </c>
      <c r="G6" s="8" t="inlineStr">
        <is>
          <t>Carve-out complesso, fuori scope pilot</t>
        </is>
      </c>
      <c r="H6" s="10" t="inlineStr">
        <is>
          <t>IMP_001</t>
        </is>
      </c>
    </row>
    <row r="7">
      <c r="A7" s="9" t="inlineStr">
        <is>
          <t>EXC_003</t>
        </is>
      </c>
      <c r="B7" s="6" t="inlineStr">
        <is>
          <t>Multi-perimetro</t>
        </is>
      </c>
      <c r="C7" s="6" t="inlineStr">
        <is>
          <t>Single perimeter: consolidated O legal_entity O cgu (uno solo)</t>
        </is>
      </c>
      <c r="D7" s="6" t="inlineStr">
        <is>
          <t>Modellare un perimetro alla volta, no transactions intercompany</t>
        </is>
      </c>
      <c r="E7" s="6" t="inlineStr">
        <is>
          <t>—</t>
        </is>
      </c>
      <c r="F7" s="6" t="inlineStr">
        <is>
          <t>Tutte voci</t>
        </is>
      </c>
      <c r="G7" s="6" t="inlineStr">
        <is>
          <t>Multi-perimetro = engine consolidamento</t>
        </is>
      </c>
      <c r="H7" s="9" t="inlineStr">
        <is>
          <t>IMP_002</t>
        </is>
      </c>
    </row>
    <row r="8">
      <c r="A8" s="10" t="inlineStr">
        <is>
          <t>EXC_004</t>
        </is>
      </c>
      <c r="B8" s="8" t="inlineStr">
        <is>
          <t>Multi-currency</t>
        </is>
      </c>
      <c r="C8" s="8" t="inlineStr">
        <is>
          <t>Single currency: EUR forced</t>
        </is>
      </c>
      <c r="D8" s="8" t="inlineStr">
        <is>
          <t>Convertire input in EUR prima di caricare; no FX engine</t>
        </is>
      </c>
      <c r="E8" s="8" t="inlineStr">
        <is>
          <t>manual_zero_placeholder per pl.financial.fx_gain_loss</t>
        </is>
      </c>
      <c r="F8" s="8" t="inlineStr">
        <is>
          <t>FX gain/loss, OCI translation</t>
        </is>
      </c>
      <c r="G8" s="8" t="inlineStr">
        <is>
          <t>Multi-currency = engine FX dedicato</t>
        </is>
      </c>
      <c r="H8" s="10" t="inlineStr">
        <is>
          <t>IMP_003</t>
        </is>
      </c>
    </row>
    <row r="9">
      <c r="A9" s="9" t="inlineStr">
        <is>
          <t>EXC_005</t>
        </is>
      </c>
      <c r="B9" s="6" t="inlineStr">
        <is>
          <t>Tax avanzato</t>
        </is>
      </c>
      <c r="C9" s="6" t="inlineStr">
        <is>
          <t>Tax management approximation: no transfer pricing, no group taxation, no specific country regimes</t>
        </is>
      </c>
      <c r="D9" s="6" t="inlineStr">
        <is>
          <t>Default ETR semplificato; advanced mode con NOL disponibile (R_DRV_011-013)</t>
        </is>
      </c>
      <c r="E9" s="6" t="inlineStr">
        <is>
          <t>tax_current_etr_simplified default</t>
        </is>
      </c>
      <c r="F9" s="6" t="inlineStr">
        <is>
          <t>pl.tax.* + bs.tax.*</t>
        </is>
      </c>
      <c r="G9" s="6" t="inlineStr">
        <is>
          <t>Tax module complesso, scope di engine dedicato</t>
        </is>
      </c>
      <c r="H9" s="9" t="inlineStr">
        <is>
          <t>IMP_005</t>
        </is>
      </c>
    </row>
    <row r="10">
      <c r="A10" s="10" t="inlineStr">
        <is>
          <t>EXC_006</t>
        </is>
      </c>
      <c r="B10" s="8" t="inlineStr">
        <is>
          <t>Lease schedule</t>
        </is>
      </c>
      <c r="C10" s="8" t="inlineStr">
        <is>
          <t>No lease-by-lease schedule: portafoglio aggregato con tasso medio</t>
        </is>
      </c>
      <c r="D10" s="8" t="inlineStr">
        <is>
          <t>rou_new_leases_pct_base + lease_payment_pct_opening; modificabile con manual_lease_schedule</t>
        </is>
      </c>
      <c r="E10" s="8" t="inlineStr">
        <is>
          <t>rou_new_leases_pct_base + lease_payment_pct_opening + lease_interest_avg_balance</t>
        </is>
      </c>
      <c r="F10" s="8" t="inlineStr">
        <is>
          <t>ROU, lease_liability, pl.financial.lease_interest, pl.da.rou</t>
        </is>
      </c>
      <c r="G10" s="8" t="inlineStr">
        <is>
          <t>Lease schedule complesso (IFRS 16), management approximation accettabile per pilot</t>
        </is>
      </c>
      <c r="H10" s="10" t="inlineStr">
        <is>
          <t>IMP_006</t>
        </is>
      </c>
    </row>
    <row r="11">
      <c r="A11" s="9" t="inlineStr">
        <is>
          <t>EXC_007</t>
        </is>
      </c>
      <c r="B11" s="6" t="inlineStr">
        <is>
          <t>Granularità monthly</t>
        </is>
      </c>
      <c r="C11" s="6" t="inlineStr">
        <is>
          <t>Granularità annuale only: P&amp;L/SP/CF Y1-Y3 anno per anno</t>
        </is>
      </c>
      <c r="D11" s="6" t="inlineStr">
        <is>
          <t>Per cash flow stagionale (es. retail), aggregare a livello annuale; no working capital monthly curves</t>
        </is>
      </c>
      <c r="E11" s="6" t="inlineStr">
        <is>
          <t>—</t>
        </is>
      </c>
      <c r="F11" s="6" t="inlineStr">
        <is>
          <t>Tutte (orizzonte temporale)</t>
        </is>
      </c>
      <c r="G11" s="6" t="inlineStr">
        <is>
          <t>Monthly = orchestrazione 12× più complessa, scope espansione futura</t>
        </is>
      </c>
      <c r="H11" s="9" t="inlineStr">
        <is>
          <t>IMP_016</t>
        </is>
      </c>
    </row>
    <row r="12">
      <c r="A12" s="10" t="inlineStr">
        <is>
          <t>EXC_008</t>
        </is>
      </c>
      <c r="B12" s="8" t="inlineStr">
        <is>
          <t>Scenario engine</t>
        </is>
      </c>
      <c r="C12" s="8" t="inlineStr">
        <is>
          <t>No scenari multipli (base/upside/downside) gestiti nativamente</t>
        </is>
      </c>
      <c r="D12" s="8" t="inlineStr">
        <is>
          <t>Eseguire pilot 3 volte con assumption set diversi e confrontare output esternamente</t>
        </is>
      </c>
      <c r="E12" s="8" t="inlineStr">
        <is>
          <t>—</t>
        </is>
      </c>
      <c r="F12" s="8" t="inlineStr">
        <is>
          <t>Tutte assumption</t>
        </is>
      </c>
      <c r="G12" s="8" t="inlineStr">
        <is>
          <t>Engine scenario = orchestrazione esecuzione + storage risultati</t>
        </is>
      </c>
      <c r="H12" s="10" t="inlineStr">
        <is>
          <t>IMP_015</t>
        </is>
      </c>
    </row>
    <row r="13">
      <c r="A13" s="9" t="inlineStr">
        <is>
          <t>EXC_009</t>
        </is>
      </c>
      <c r="B13" s="6" t="inlineStr">
        <is>
          <t>Sensitivity analysis</t>
        </is>
      </c>
      <c r="C13" s="6" t="inlineStr">
        <is>
          <t>No sensitivity automatic (es. ± 10% su ogni assumption)</t>
        </is>
      </c>
      <c r="D13" s="6" t="inlineStr">
        <is>
          <t>Sensitivity manuale: variare singola assumption ed eseguire engine</t>
        </is>
      </c>
      <c r="E13" s="6" t="inlineStr">
        <is>
          <t>—</t>
        </is>
      </c>
      <c r="F13" s="6" t="inlineStr">
        <is>
          <t>Tutte assumption</t>
        </is>
      </c>
      <c r="G13" s="6" t="inlineStr">
        <is>
          <t>Sensitivity = wrapper engine + visualizzazione</t>
        </is>
      </c>
      <c r="H13" s="9" t="inlineStr">
        <is>
          <t>IMP_015</t>
        </is>
      </c>
    </row>
    <row r="14">
      <c r="A14" s="10" t="inlineStr">
        <is>
          <t>EXC_010</t>
        </is>
      </c>
      <c r="B14" s="8" t="inlineStr">
        <is>
          <t>Strumenti finanziari complessi</t>
        </is>
      </c>
      <c r="C14" s="8" t="inlineStr">
        <is>
          <t>No derivati, hedge accounting, convertibles, warrants</t>
        </is>
      </c>
      <c r="D14" s="8" t="inlineStr">
        <is>
          <t>Trattare derivati come placeholder a saldo netto (input manuale)</t>
        </is>
      </c>
      <c r="E14" s="8" t="inlineStr">
        <is>
          <t>manual_zero</t>
        </is>
      </c>
      <c r="F14" s="8" t="inlineStr">
        <is>
          <t>bs.fa.financial.fvtpl_movement; pl.financial.fx_gain_loss</t>
        </is>
      </c>
      <c r="G14" s="8" t="inlineStr">
        <is>
          <t>Strumenti complessi = scope IFRS 9 dedicato</t>
        </is>
      </c>
      <c r="H14" s="10" t="inlineStr">
        <is>
          <t>IMP_010</t>
        </is>
      </c>
    </row>
    <row r="15">
      <c r="A15" s="9" t="inlineStr">
        <is>
          <t>EXC_011</t>
        </is>
      </c>
      <c r="B15" s="6" t="inlineStr">
        <is>
          <t>RCF plug automatico</t>
        </is>
      </c>
      <c r="C15" s="6" t="inlineStr">
        <is>
          <t>No revolving credit facility plug per cash gap</t>
        </is>
      </c>
      <c r="D15" s="6" t="inlineStr">
        <is>
          <t>Identificare cash gap manualmente in E8; modellare RCF movement coerente</t>
        </is>
      </c>
      <c r="E15" s="6" t="inlineStr">
        <is>
          <t>manual_zero su rcf_movement</t>
        </is>
      </c>
      <c r="F15" s="6" t="inlineStr">
        <is>
          <t>bs.nfp.borrowings.rcf_movement</t>
        </is>
      </c>
      <c r="G15" s="6" t="inlineStr">
        <is>
          <t>RCF plug = iterazione (cash → RCF → interest → cash); evitato per evitare circolarità</t>
        </is>
      </c>
      <c r="H15" s="9" t="inlineStr">
        <is>
          <t>IMP_011</t>
        </is>
      </c>
    </row>
    <row r="16">
      <c r="A16" s="10" t="inlineStr">
        <is>
          <t>EXC_012</t>
        </is>
      </c>
      <c r="B16" s="8" t="inlineStr">
        <is>
          <t>Cost of debt per facility</t>
        </is>
      </c>
      <c r="C16" s="8" t="inlineStr">
        <is>
          <t>Tasso unico per categoria borrowings (term_loan, RCF, bonds)</t>
        </is>
      </c>
      <c r="D16" s="8" t="inlineStr">
        <is>
          <t>Calcolare tasso medio ponderato su Y0 actual ed usarlo come default</t>
        </is>
      </c>
      <c r="E16" s="8" t="inlineStr">
        <is>
          <t>interest_expense_avg_balance con cost_of_debt unico</t>
        </is>
      </c>
      <c r="F16" s="8" t="inlineStr">
        <is>
          <t>pl.financial.interest_expense</t>
        </is>
      </c>
      <c r="G16" s="8" t="inlineStr">
        <is>
          <t>Per debt mix omogeneo OK; per debt mix eterogeneo serve schedule per facility</t>
        </is>
      </c>
      <c r="H16" s="10" t="inlineStr">
        <is>
          <t>IMP_009</t>
        </is>
      </c>
    </row>
    <row r="17">
      <c r="A17" s="9" t="inlineStr">
        <is>
          <t>EXC_013</t>
        </is>
      </c>
      <c r="B17" s="6" t="inlineStr">
        <is>
          <t>Stock-based compensation</t>
        </is>
      </c>
      <c r="C17" s="6" t="inlineStr">
        <is>
          <t>No SBC modeling avanzato; trattato come componente personnel cost</t>
        </is>
      </c>
      <c r="D17" s="6" t="inlineStr">
        <is>
          <t>Includere SBC nei pl.opex.*.personnel come costo (no capitalizzazione)</t>
        </is>
      </c>
      <c r="E17" s="6" t="inlineStr">
        <is>
          <t>—</t>
        </is>
      </c>
      <c r="F17" s="6" t="inlineStr">
        <is>
          <t>pl.opex.*.personnel</t>
        </is>
      </c>
      <c r="G17" s="6" t="inlineStr">
        <is>
          <t>SBC modeling = scope dedicato (vesting, dilution)</t>
        </is>
      </c>
      <c r="H17" s="9" t="inlineStr">
        <is>
          <t>IMP_012</t>
        </is>
      </c>
    </row>
    <row r="18">
      <c r="A18" s="10" t="inlineStr">
        <is>
          <t>EXC_014</t>
        </is>
      </c>
      <c r="B18" s="8" t="inlineStr">
        <is>
          <t>R&amp;D capitalization advanced</t>
        </is>
      </c>
      <c r="C18" s="8" t="inlineStr">
        <is>
          <t>No tracking sviluppo software per capitalizzazione (IAS 38)</t>
        </is>
      </c>
      <c r="D18" s="8" t="inlineStr">
        <is>
          <t>bs.fa.intangible.software_capex con default historical_avg_growth o pct_net_revenue</t>
        </is>
      </c>
      <c r="E18" s="8" t="inlineStr">
        <is>
          <t>historical_avg_growth (default) o pct_net_revenue (alt SaaS)</t>
        </is>
      </c>
      <c r="F18" s="8" t="inlineStr">
        <is>
          <t>bs.fa.intangible.software_capex, pl.opex.rd.*</t>
        </is>
      </c>
      <c r="G18" s="8" t="inlineStr">
        <is>
          <t>R&amp;D capitalization = scope IAS 38 dedicato</t>
        </is>
      </c>
      <c r="H18" s="10" t="inlineStr">
        <is>
          <t>IMP_013</t>
        </is>
      </c>
    </row>
    <row r="19">
      <c r="A19" s="9" t="inlineStr">
        <is>
          <t>EXC_015</t>
        </is>
      </c>
      <c r="B19" s="6" t="inlineStr">
        <is>
          <t>Pension actuarial advanced</t>
        </is>
      </c>
      <c r="C19" s="6" t="inlineStr">
        <is>
          <t>No actuarial modeling completo: actuarial_changes input manuale, no demographic projections</t>
        </is>
      </c>
      <c r="D19" s="6" t="inlineStr">
        <is>
          <t>manual_zero default; utente modella se materiale (recommended per Italian companies)</t>
        </is>
      </c>
      <c r="E19" s="6" t="inlineStr">
        <is>
          <t>manual_zero su bs.employee_benefits.actuarial_changes</t>
        </is>
      </c>
      <c r="F19" s="6" t="inlineStr">
        <is>
          <t>bs.employee_benefits.* + bs.equity.oci_movement</t>
        </is>
      </c>
      <c r="G19" s="6" t="inlineStr">
        <is>
          <t>Actuarial modeling completo = scope IAS 19 dedicato</t>
        </is>
      </c>
      <c r="H19" s="9" t="inlineStr">
        <is>
          <t>IMP_014</t>
        </is>
      </c>
    </row>
    <row r="20">
      <c r="A20" s="10" t="inlineStr">
        <is>
          <t>EXC_016</t>
        </is>
      </c>
      <c r="B20" s="8" t="inlineStr">
        <is>
          <t>Industry-specific accounting</t>
        </is>
      </c>
      <c r="C20" s="8" t="inlineStr">
        <is>
          <t>No regimi contabili industry-specific (IFRS 17 insurance, IFRS 6 mining, IAS 41 agriculture)</t>
        </is>
      </c>
      <c r="D20" s="8" t="inlineStr">
        <is>
          <t>Pilot non applicabile per insurance / mining / agriculture</t>
        </is>
      </c>
      <c r="E20" s="8" t="inlineStr">
        <is>
          <t>—</t>
        </is>
      </c>
      <c r="F20" s="8" t="inlineStr">
        <is>
          <t>—</t>
        </is>
      </c>
      <c r="G20" s="8" t="inlineStr">
        <is>
          <t>Industry-specific = scope dedicato per ogni standard</t>
        </is>
      </c>
      <c r="H20" s="10" t="inlineStr">
        <is>
          <t>IMP_004</t>
        </is>
      </c>
    </row>
    <row r="22" ht="22" customHeight="1">
      <c r="A22" s="3" t="inlineStr">
        <is>
          <t>Sezione B — Improvement Roadmap (16 IMP futuri prioritizzati)</t>
        </is>
      </c>
    </row>
    <row r="23" ht="32" customHeight="1">
      <c r="A23" s="4" t="inlineStr">
        <is>
          <t>imp_id</t>
        </is>
      </c>
      <c r="B23" s="4" t="inlineStr">
        <is>
          <t>priorità</t>
        </is>
      </c>
      <c r="C23" s="4" t="inlineStr">
        <is>
          <t>area</t>
        </is>
      </c>
      <c r="D23" s="4" t="inlineStr">
        <is>
          <t>improvement</t>
        </is>
      </c>
      <c r="E23" s="4" t="inlineStr">
        <is>
          <t>complessità</t>
        </is>
      </c>
      <c r="F23" s="4" t="inlineStr">
        <is>
          <t>valore aggiunto</t>
        </is>
      </c>
      <c r="G23" s="4" t="inlineStr">
        <is>
          <t>dipendenze</t>
        </is>
      </c>
      <c r="H23" s="4" t="inlineStr">
        <is>
          <t>note</t>
        </is>
      </c>
    </row>
    <row r="24">
      <c r="A24" s="9" t="inlineStr">
        <is>
          <t>IMP_011</t>
        </is>
      </c>
      <c r="B24" s="6" t="inlineStr">
        <is>
          <t>near_term</t>
        </is>
      </c>
      <c r="C24" s="6" t="inlineStr">
        <is>
          <t>Cash management</t>
        </is>
      </c>
      <c r="D24" s="6" t="inlineStr">
        <is>
          <t>RCF plug automatico per cash gap</t>
        </is>
      </c>
      <c r="E24" s="6" t="inlineStr">
        <is>
          <t>medium</t>
        </is>
      </c>
      <c r="F24" s="6" t="inlineStr">
        <is>
          <t>Evita user manual intervention quando cash diventa negativo</t>
        </is>
      </c>
      <c r="G24" s="6" t="inlineStr">
        <is>
          <t>—</t>
        </is>
      </c>
      <c r="H24" s="6" t="inlineStr">
        <is>
          <t>Risolve EXC_011</t>
        </is>
      </c>
    </row>
    <row r="25">
      <c r="A25" s="10" t="inlineStr">
        <is>
          <t>IMP_009</t>
        </is>
      </c>
      <c r="B25" s="8" t="inlineStr">
        <is>
          <t>near_term</t>
        </is>
      </c>
      <c r="C25" s="8" t="inlineStr">
        <is>
          <t>Debt</t>
        </is>
      </c>
      <c r="D25" s="8" t="inlineStr">
        <is>
          <t>Cost of debt per facility (rate per facility specifica)</t>
        </is>
      </c>
      <c r="E25" s="8" t="inlineStr">
        <is>
          <t>low</t>
        </is>
      </c>
      <c r="F25" s="8" t="inlineStr">
        <is>
          <t>Maggior precisione interest expense per debt mix eterogeneo</t>
        </is>
      </c>
      <c r="G25" s="8" t="inlineStr">
        <is>
          <t>—</t>
        </is>
      </c>
      <c r="H25" s="8" t="inlineStr">
        <is>
          <t>Risolve EXC_012</t>
        </is>
      </c>
    </row>
    <row r="26">
      <c r="A26" s="9" t="inlineStr">
        <is>
          <t>IMP_015</t>
        </is>
      </c>
      <c r="B26" s="6" t="inlineStr">
        <is>
          <t>near_term</t>
        </is>
      </c>
      <c r="C26" s="6" t="inlineStr">
        <is>
          <t>Sensitivity &amp; Scenari</t>
        </is>
      </c>
      <c r="D26" s="6" t="inlineStr">
        <is>
          <t>Scenario engine + sensitivity analysis nativi</t>
        </is>
      </c>
      <c r="E26" s="6" t="inlineStr">
        <is>
          <t>medium</t>
        </is>
      </c>
      <c r="F26" s="6" t="inlineStr">
        <is>
          <t>Comparazione scenari base/upside/downside, what-if su singole assumption</t>
        </is>
      </c>
      <c r="G26" s="6" t="inlineStr">
        <is>
          <t>—</t>
        </is>
      </c>
      <c r="H26" s="6" t="inlineStr">
        <is>
          <t>Risolve EXC_008+EXC_009; alta priorità per uso advisory</t>
        </is>
      </c>
    </row>
    <row r="27">
      <c r="A27" s="10" t="inlineStr">
        <is>
          <t>IMP_001</t>
        </is>
      </c>
      <c r="B27" s="8" t="inlineStr">
        <is>
          <t>medium_term</t>
        </is>
      </c>
      <c r="C27" s="8" t="inlineStr">
        <is>
          <t>M&amp;A / Carve-out</t>
        </is>
      </c>
      <c r="D27" s="8" t="inlineStr">
        <is>
          <t>Engine M&amp;A: PPA, goodwill calculation, consolidation post-deal; engine carve-out con plus/minus</t>
        </is>
      </c>
      <c r="E27" s="8" t="inlineStr">
        <is>
          <t>high</t>
        </is>
      </c>
      <c r="F27" s="8" t="inlineStr">
        <is>
          <t>Coperture casistica advisory critica</t>
        </is>
      </c>
      <c r="G27" s="8" t="inlineStr">
        <is>
          <t>IMP_002</t>
        </is>
      </c>
      <c r="H27" s="8" t="inlineStr">
        <is>
          <t>Risolve EXC_001+EXC_002</t>
        </is>
      </c>
    </row>
    <row r="28">
      <c r="A28" s="9" t="inlineStr">
        <is>
          <t>IMP_003</t>
        </is>
      </c>
      <c r="B28" s="6" t="inlineStr">
        <is>
          <t>medium_term</t>
        </is>
      </c>
      <c r="C28" s="6" t="inlineStr">
        <is>
          <t>FX</t>
        </is>
      </c>
      <c r="D28" s="6" t="inlineStr">
        <is>
          <t>Multi-currency engine: FX translation per voci, OCI translation reserve</t>
        </is>
      </c>
      <c r="E28" s="6" t="inlineStr">
        <is>
          <t>high</t>
        </is>
      </c>
      <c r="F28" s="6" t="inlineStr">
        <is>
          <t>Multinazionali, gruppi cross-border</t>
        </is>
      </c>
      <c r="G28" s="6" t="inlineStr">
        <is>
          <t>—</t>
        </is>
      </c>
      <c r="H28" s="6" t="inlineStr">
        <is>
          <t>Risolve EXC_004</t>
        </is>
      </c>
    </row>
    <row r="29">
      <c r="A29" s="10" t="inlineStr">
        <is>
          <t>IMP_005</t>
        </is>
      </c>
      <c r="B29" s="8" t="inlineStr">
        <is>
          <t>medium_term</t>
        </is>
      </c>
      <c r="C29" s="8" t="inlineStr">
        <is>
          <t>Tax</t>
        </is>
      </c>
      <c r="D29" s="8" t="inlineStr">
        <is>
          <t>Modulo fiscale completo: regime nazionale, transfer pricing, group taxation, specific country regimes</t>
        </is>
      </c>
      <c r="E29" s="8" t="inlineStr">
        <is>
          <t>high</t>
        </is>
      </c>
      <c r="F29" s="8" t="inlineStr">
        <is>
          <t>Precisione fiscale per scenari complessi</t>
        </is>
      </c>
      <c r="G29" s="8" t="inlineStr">
        <is>
          <t>—</t>
        </is>
      </c>
      <c r="H29" s="8" t="inlineStr">
        <is>
          <t>Risolve EXC_005 (parziale)</t>
        </is>
      </c>
    </row>
    <row r="30">
      <c r="A30" s="9" t="inlineStr">
        <is>
          <t>IMP_002</t>
        </is>
      </c>
      <c r="B30" s="6" t="inlineStr">
        <is>
          <t>long_term</t>
        </is>
      </c>
      <c r="C30" s="6" t="inlineStr">
        <is>
          <t>Multi-perimetro</t>
        </is>
      </c>
      <c r="D30" s="6" t="inlineStr">
        <is>
          <t>Engine multi-perimetro: holding, subsidiaries, intercompany, equity method, NCI</t>
        </is>
      </c>
      <c r="E30" s="6" t="inlineStr">
        <is>
          <t>very_high</t>
        </is>
      </c>
      <c r="F30" s="6" t="inlineStr">
        <is>
          <t>Gruppi consolidati</t>
        </is>
      </c>
      <c r="G30" s="6" t="inlineStr">
        <is>
          <t>—</t>
        </is>
      </c>
      <c r="H30" s="6" t="inlineStr">
        <is>
          <t>Risolve EXC_003+EXC_015</t>
        </is>
      </c>
    </row>
    <row r="31">
      <c r="A31" s="10" t="inlineStr">
        <is>
          <t>IMP_010</t>
        </is>
      </c>
      <c r="B31" s="8" t="inlineStr">
        <is>
          <t>long_term</t>
        </is>
      </c>
      <c r="C31" s="8" t="inlineStr">
        <is>
          <t>Strumenti finanziari</t>
        </is>
      </c>
      <c r="D31" s="8" t="inlineStr">
        <is>
          <t>Modulo IFRS 9 completo: derivati, hedge accounting, convertibles, warrants</t>
        </is>
      </c>
      <c r="E31" s="8" t="inlineStr">
        <is>
          <t>high</t>
        </is>
      </c>
      <c r="F31" s="8" t="inlineStr">
        <is>
          <t>Casistica corporate finance complessa</t>
        </is>
      </c>
      <c r="G31" s="8" t="inlineStr">
        <is>
          <t>IMP_005</t>
        </is>
      </c>
      <c r="H31" s="8" t="inlineStr">
        <is>
          <t>Risolve EXC_010</t>
        </is>
      </c>
    </row>
    <row r="32">
      <c r="A32" s="9" t="inlineStr">
        <is>
          <t>IMP_016</t>
        </is>
      </c>
      <c r="B32" s="6" t="inlineStr">
        <is>
          <t>long_term</t>
        </is>
      </c>
      <c r="C32" s="6" t="inlineStr">
        <is>
          <t>Granularità</t>
        </is>
      </c>
      <c r="D32" s="6" t="inlineStr">
        <is>
          <t>Engine monthly/quarterly: orchestrazione granularità sub-annuale</t>
        </is>
      </c>
      <c r="E32" s="6" t="inlineStr">
        <is>
          <t>very_high</t>
        </is>
      </c>
      <c r="F32" s="6" t="inlineStr">
        <is>
          <t>Cash management seasonal, retail, hospitality</t>
        </is>
      </c>
      <c r="G32" s="6" t="inlineStr">
        <is>
          <t>IMP_015 (per scenari mensili)</t>
        </is>
      </c>
      <c r="H32" s="6" t="inlineStr">
        <is>
          <t>Risolve EXC_007</t>
        </is>
      </c>
    </row>
    <row r="33">
      <c r="A33" s="10" t="inlineStr">
        <is>
          <t>IMP_004</t>
        </is>
      </c>
      <c r="B33" s="8" t="inlineStr">
        <is>
          <t>deferred</t>
        </is>
      </c>
      <c r="C33" s="8" t="inlineStr">
        <is>
          <t>Industry packs avanzati</t>
        </is>
      </c>
      <c r="D33" s="8" t="inlineStr">
        <is>
          <t>Pack settoriali aggiuntivi: hospitality, transport, energy completo, mining, insurance, agriculture</t>
        </is>
      </c>
      <c r="E33" s="8" t="inlineStr">
        <is>
          <t>high (per pack)</t>
        </is>
      </c>
      <c r="F33" s="8" t="inlineStr">
        <is>
          <t>Coverage settoriale ampia</t>
        </is>
      </c>
      <c r="G33" s="8" t="inlineStr">
        <is>
          <t>Pack-specific accounting (IFRS 6, IFRS 17, IAS 41)</t>
        </is>
      </c>
      <c r="H33" s="8" t="inlineStr">
        <is>
          <t>Risolve EXC_016</t>
        </is>
      </c>
    </row>
    <row r="34">
      <c r="A34" s="9" t="inlineStr">
        <is>
          <t>IMP_006</t>
        </is>
      </c>
      <c r="B34" s="6" t="inlineStr">
        <is>
          <t>deferred</t>
        </is>
      </c>
      <c r="C34" s="6" t="inlineStr">
        <is>
          <t>Lease</t>
        </is>
      </c>
      <c r="D34" s="6" t="inlineStr">
        <is>
          <t>Lease-by-lease schedule per IFRS 16 dettagliato</t>
        </is>
      </c>
      <c r="E34" s="6" t="inlineStr">
        <is>
          <t>medium</t>
        </is>
      </c>
      <c r="F34" s="6" t="inlineStr">
        <is>
          <t>Precisione lease accounting per portafoglio eterogeneo</t>
        </is>
      </c>
      <c r="G34" s="6" t="inlineStr">
        <is>
          <t>—</t>
        </is>
      </c>
      <c r="H34" s="6" t="inlineStr">
        <is>
          <t>Risolve EXC_006</t>
        </is>
      </c>
    </row>
    <row r="35">
      <c r="A35" s="10" t="inlineStr">
        <is>
          <t>IMP_007</t>
        </is>
      </c>
      <c r="B35" s="8" t="inlineStr">
        <is>
          <t>deferred</t>
        </is>
      </c>
      <c r="C35" s="8" t="inlineStr">
        <is>
          <t>Iteration</t>
        </is>
      </c>
      <c r="D35" s="8" t="inlineStr">
        <is>
          <t>Iterative solver per circolarità (fixed-point convergence)</t>
        </is>
      </c>
      <c r="E35" s="8" t="inlineStr">
        <is>
          <t>high</t>
        </is>
      </c>
      <c r="F35" s="8" t="inlineStr">
        <is>
          <t>Eliminazione errori residui APX_001-006</t>
        </is>
      </c>
      <c r="G35" s="8" t="inlineStr">
        <is>
          <t>Engine Newton-Raphson o Gauss-Seidel</t>
        </is>
      </c>
      <c r="H35" s="8" t="inlineStr">
        <is>
          <t>Risolve APX_001-006, APX_013</t>
        </is>
      </c>
    </row>
    <row r="36">
      <c r="A36" s="9" t="inlineStr">
        <is>
          <t>IMP_008</t>
        </is>
      </c>
      <c r="B36" s="6" t="inlineStr">
        <is>
          <t>deferred</t>
        </is>
      </c>
      <c r="C36" s="6" t="inlineStr">
        <is>
          <t>Vintage tracking</t>
        </is>
      </c>
      <c r="D36" s="6" t="inlineStr">
        <is>
          <t>Vintage tracking PPE/intangibles per D&amp;A precisa per asset</t>
        </is>
      </c>
      <c r="E36" s="6" t="inlineStr">
        <is>
          <t>high</t>
        </is>
      </c>
      <c r="F36" s="6" t="inlineStr">
        <is>
          <t>Eliminazione approssimazione mid-year convention</t>
        </is>
      </c>
      <c r="G36" s="6" t="inlineStr">
        <is>
          <t>Asset register dettagliato</t>
        </is>
      </c>
      <c r="H36" s="6" t="inlineStr">
        <is>
          <t>Risolve APX_003</t>
        </is>
      </c>
    </row>
    <row r="37">
      <c r="A37" s="10" t="inlineStr">
        <is>
          <t>IMP_012</t>
        </is>
      </c>
      <c r="B37" s="8" t="inlineStr">
        <is>
          <t>deferred</t>
        </is>
      </c>
      <c r="C37" s="8" t="inlineStr">
        <is>
          <t>Stock compensation</t>
        </is>
      </c>
      <c r="D37" s="8" t="inlineStr">
        <is>
          <t>SBC modeling avanzato (vesting, dilution, expense recognition)</t>
        </is>
      </c>
      <c r="E37" s="8" t="inlineStr">
        <is>
          <t>medium</t>
        </is>
      </c>
      <c r="F37" s="8" t="inlineStr">
        <is>
          <t>Per società quotate / VC-backed</t>
        </is>
      </c>
      <c r="G37" s="8" t="inlineStr">
        <is>
          <t>—</t>
        </is>
      </c>
      <c r="H37" s="8" t="inlineStr">
        <is>
          <t>Risolve EXC_013</t>
        </is>
      </c>
    </row>
    <row r="38">
      <c r="A38" s="9" t="inlineStr">
        <is>
          <t>IMP_013</t>
        </is>
      </c>
      <c r="B38" s="6" t="inlineStr">
        <is>
          <t>deferred</t>
        </is>
      </c>
      <c r="C38" s="6" t="inlineStr">
        <is>
          <t>R&amp;D capitalization</t>
        </is>
      </c>
      <c r="D38" s="6" t="inlineStr">
        <is>
          <t>Engine IAS 38: tracking sviluppo software, criteria capitalization, amortization su useful life</t>
        </is>
      </c>
      <c r="E38" s="6" t="inlineStr">
        <is>
          <t>medium</t>
        </is>
      </c>
      <c r="F38" s="6" t="inlineStr">
        <is>
          <t>Per SaaS / R&amp;D-intensive</t>
        </is>
      </c>
      <c r="G38" s="6" t="inlineStr">
        <is>
          <t>—</t>
        </is>
      </c>
      <c r="H38" s="6" t="inlineStr">
        <is>
          <t>Risolve EXC_014</t>
        </is>
      </c>
    </row>
    <row r="39">
      <c r="A39" s="10" t="inlineStr">
        <is>
          <t>IMP_014</t>
        </is>
      </c>
      <c r="B39" s="8" t="inlineStr">
        <is>
          <t>deferred</t>
        </is>
      </c>
      <c r="C39" s="8" t="inlineStr">
        <is>
          <t>Pension</t>
        </is>
      </c>
      <c r="D39" s="8" t="inlineStr">
        <is>
          <t>Engine IAS 19 completo: demographic projections, discount rate sensitivity, asset returns</t>
        </is>
      </c>
      <c r="E39" s="8" t="inlineStr">
        <is>
          <t>high</t>
        </is>
      </c>
      <c r="F39" s="8" t="inlineStr">
        <is>
          <t>Per Italian companies con TFR significativo o defined benefit plans</t>
        </is>
      </c>
      <c r="G39" s="8" t="inlineStr">
        <is>
          <t>—</t>
        </is>
      </c>
      <c r="H39" s="8" t="inlineStr">
        <is>
          <t>Risolve EXC_015</t>
        </is>
      </c>
    </row>
    <row r="41" ht="22" customHeight="1">
      <c r="A41" s="3" t="inlineStr">
        <is>
          <t>Statistiche roadmap</t>
        </is>
      </c>
    </row>
    <row r="42">
      <c r="A42" s="20" t="inlineStr">
        <is>
          <t>• 16 improvement identificati</t>
        </is>
      </c>
    </row>
    <row r="43">
      <c r="A43" s="20" t="inlineStr">
        <is>
          <t>• Distribuzione: 3 near_term, 3 medium_term, 3 long_term, 7 deferred</t>
        </is>
      </c>
    </row>
    <row r="44">
      <c r="A44" s="20" t="inlineStr">
        <is>
          <t>• Near-term raccomandati per v1.2: IMP_011 (RCF plug), IMP_009 (cost of debt per facility), IMP_015 (scenario/sensitivity)</t>
        </is>
      </c>
    </row>
    <row r="45">
      <c r="A45" s="20" t="inlineStr">
        <is>
          <t>• Medium-term per v2.0: IMP_001 (M&amp;A), IMP_003 (multi-currency), IMP_005 (modulo fiscale)</t>
        </is>
      </c>
    </row>
    <row r="46">
      <c r="A46" s="20" t="inlineStr">
        <is>
          <t>• Long-term per v3.0: IMP_002 (multi-perimetro), IMP_010 (IFRS 9), IMP_016 (monthly granularity)</t>
        </is>
      </c>
    </row>
    <row r="47">
      <c r="A47" s="20" t="inlineStr">
        <is>
          <t>• Deferred = priorità bassa o richiede prerequisiti complessi</t>
        </is>
      </c>
    </row>
  </sheetData>
  <mergeCells count="10">
    <mergeCell ref="A45:H45"/>
    <mergeCell ref="A3:H3"/>
    <mergeCell ref="A43:H43"/>
    <mergeCell ref="A42:H42"/>
    <mergeCell ref="A41:H41"/>
    <mergeCell ref="A44:H44"/>
    <mergeCell ref="A47:H47"/>
    <mergeCell ref="A1:H1"/>
    <mergeCell ref="A46:H46"/>
    <mergeCell ref="A22:H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50" customWidth="1" min="4" max="4"/>
    <col width="55" customWidth="1" min="5" max="5"/>
    <col width="35" customWidth="1" min="6" max="6"/>
  </cols>
  <sheetData>
    <row r="1" ht="28" customHeight="1">
      <c r="A1" s="1" t="inlineStr">
        <is>
          <t>Decisions Log — Tracciabilità decisionale Fase 1, Fase 2, Fase 2.5</t>
        </is>
      </c>
    </row>
    <row r="3" ht="22" customHeight="1">
      <c r="A3" s="3" t="inlineStr">
        <is>
          <t>Ogni decisione con ID parlante, contesto, opzioni considerate, decisione, rationale</t>
        </is>
      </c>
    </row>
    <row r="4" ht="32" customHeight="1">
      <c r="A4" s="4" t="inlineStr">
        <is>
          <t>id</t>
        </is>
      </c>
      <c r="B4" s="4" t="inlineStr">
        <is>
          <t>fase</t>
        </is>
      </c>
      <c r="C4" s="4" t="inlineStr">
        <is>
          <t>area</t>
        </is>
      </c>
      <c r="D4" s="4" t="inlineStr">
        <is>
          <t>decisione</t>
        </is>
      </c>
      <c r="E4" s="4" t="inlineStr">
        <is>
          <t>rationale</t>
        </is>
      </c>
      <c r="F4" s="4" t="inlineStr">
        <is>
          <t>impatto</t>
        </is>
      </c>
    </row>
    <row r="5">
      <c r="A5" s="9" t="inlineStr">
        <is>
          <t>P1.1</t>
        </is>
      </c>
      <c r="B5" s="6" t="inlineStr">
        <is>
          <t>Fase 1</t>
        </is>
      </c>
      <c r="C5" s="6" t="inlineStr">
        <is>
          <t>Architettura ID</t>
        </is>
      </c>
      <c r="D5" s="6" t="inlineStr">
        <is>
          <t>Sistema 3 livelli: family_id (10) / method_id parlante / technical_code M_XXX_NNN univoco</t>
        </is>
      </c>
      <c r="E5" s="6" t="inlineStr">
        <is>
          <t>Bilancia leggibilità (method_id per umani) e univocità tecnica (codice per macchina)</t>
        </is>
      </c>
      <c r="F5" s="6" t="inlineStr">
        <is>
          <t>Tutti method_id e voice_id</t>
        </is>
      </c>
    </row>
    <row r="6">
      <c r="A6" s="10" t="inlineStr">
        <is>
          <t>P1.2</t>
        </is>
      </c>
      <c r="B6" s="8" t="inlineStr">
        <is>
          <t>Fase 1</t>
        </is>
      </c>
      <c r="C6" s="8" t="inlineStr">
        <is>
          <t>Voice naming</t>
        </is>
      </c>
      <c r="D6" s="8" t="inlineStr">
        <is>
          <t>Schema gerarchico {statement}.{section}.{group}.{voice} con dot notation</t>
        </is>
      </c>
      <c r="E6" s="8" t="inlineStr">
        <is>
          <t>Parsing facile, leggibilità, scalabilità</t>
        </is>
      </c>
      <c r="F6" s="8" t="inlineStr">
        <is>
          <t>207 voci</t>
        </is>
      </c>
    </row>
    <row r="7">
      <c r="A7" s="9" t="inlineStr">
        <is>
          <t>P1.3</t>
        </is>
      </c>
      <c r="B7" s="6" t="inlineStr">
        <is>
          <t>Fase 1</t>
        </is>
      </c>
      <c r="C7" s="6" t="inlineStr">
        <is>
          <t>Sign convention</t>
        </is>
      </c>
      <c r="D7" s="6" t="inlineStr">
        <is>
          <t>Alternativa B IFRS signed: ricavi+, costi-, asset+, liability-, equity+</t>
        </is>
      </c>
      <c r="E7" s="6" t="inlineStr">
        <is>
          <t>Standard IFRS (vs Alt A 'all positive') consente somma algebrica EBITDA</t>
        </is>
      </c>
      <c r="F7" s="6" t="inlineStr">
        <is>
          <t>Tutto modello</t>
        </is>
      </c>
    </row>
    <row r="8">
      <c r="A8" s="10" t="inlineStr">
        <is>
          <t>P1.4</t>
        </is>
      </c>
      <c r="B8" s="8" t="inlineStr">
        <is>
          <t>Fase 1</t>
        </is>
      </c>
      <c r="C8" s="8" t="inlineStr">
        <is>
          <t>Balance check tolerance</t>
        </is>
      </c>
      <c r="D8" s="8" t="inlineStr">
        <is>
          <t>max(1.0, 0.0001 × abs(total_assets))</t>
        </is>
      </c>
      <c r="E8" s="8" t="inlineStr">
        <is>
          <t>Combina assoluta (per modelli piccoli) e relativa (per grandi); accetta errore round-off</t>
        </is>
      </c>
      <c r="F8" s="8" t="inlineStr">
        <is>
          <t>DI_013, AI_001</t>
        </is>
      </c>
    </row>
    <row r="9">
      <c r="A9" s="9" t="inlineStr">
        <is>
          <t>P1.5</t>
        </is>
      </c>
      <c r="B9" s="6" t="inlineStr">
        <is>
          <t>Fase 1</t>
        </is>
      </c>
      <c r="C9" s="6" t="inlineStr">
        <is>
          <t>Perimetro pilot</t>
        </is>
      </c>
      <c r="D9" s="6" t="inlineStr">
        <is>
          <t>Mono-perimetro: consolidated O legal_entity O cgu (utente sceglie uno)</t>
        </is>
      </c>
      <c r="E9" s="6" t="inlineStr">
        <is>
          <t>Multi-perimetro = engine consolidamento, scope espansione futura (IMP_002)</t>
        </is>
      </c>
      <c r="F9" s="6" t="inlineStr">
        <is>
          <t>Tutto modello, EXC_003</t>
        </is>
      </c>
    </row>
    <row r="10">
      <c r="A10" s="10" t="inlineStr">
        <is>
          <t>P1.6</t>
        </is>
      </c>
      <c r="B10" s="8" t="inlineStr">
        <is>
          <t>Fase 1</t>
        </is>
      </c>
      <c r="C10" s="8" t="inlineStr">
        <is>
          <t>Currency pilot</t>
        </is>
      </c>
      <c r="D10" s="8" t="inlineStr">
        <is>
          <t>Single currency EUR forced</t>
        </is>
      </c>
      <c r="E10" s="8" t="inlineStr">
        <is>
          <t>Multi-currency = engine FX dedicato (IMP_003)</t>
        </is>
      </c>
      <c r="F10" s="8" t="inlineStr">
        <is>
          <t>EXC_004</t>
        </is>
      </c>
    </row>
    <row r="11">
      <c r="A11" s="9" t="inlineStr">
        <is>
          <t>P1.7</t>
        </is>
      </c>
      <c r="B11" s="6" t="inlineStr">
        <is>
          <t>Fase 1</t>
        </is>
      </c>
      <c r="C11" s="6" t="inlineStr">
        <is>
          <t>Orizzonte</t>
        </is>
      </c>
      <c r="D11" s="6" t="inlineStr">
        <is>
          <t>3 anni proiezione (Y1-Y3) annuale, 4 anni storico (Y-3..Y0)</t>
        </is>
      </c>
      <c r="E11" s="6" t="inlineStr">
        <is>
          <t>Tipico advisory; monthly = improvement (IMP_016)</t>
        </is>
      </c>
      <c r="F11" s="6" t="inlineStr">
        <is>
          <t>EXC_007</t>
        </is>
      </c>
    </row>
    <row r="12">
      <c r="A12" s="10" t="inlineStr">
        <is>
          <t>P1.8</t>
        </is>
      </c>
      <c r="B12" s="8" t="inlineStr">
        <is>
          <t>Fase 1</t>
        </is>
      </c>
      <c r="C12" s="8" t="inlineStr">
        <is>
          <t>Standard contabile</t>
        </is>
      </c>
      <c r="D12" s="8" t="inlineStr">
        <is>
          <t>IFRS (incluso IFRS 9, 15, 16; IAS 12, 16, 19, 36, 37, 38, 40)</t>
        </is>
      </c>
      <c r="E12" s="8" t="inlineStr">
        <is>
          <t>Standard più diffuso; GAAP italiano = improvement futuro</t>
        </is>
      </c>
      <c r="F12" s="8" t="inlineStr">
        <is>
          <t>Tutto modello</t>
        </is>
      </c>
    </row>
    <row r="13">
      <c r="A13" s="9" t="inlineStr">
        <is>
          <t>P1.9</t>
        </is>
      </c>
      <c r="B13" s="6" t="inlineStr">
        <is>
          <t>Fase 1</t>
        </is>
      </c>
      <c r="C13" s="6" t="inlineStr">
        <is>
          <t>Famiglie metodi</t>
        </is>
      </c>
      <c r="D13" s="6" t="inlineStr">
        <is>
          <t>10 famiglie ortogonali: EXTRAPOLATION, RATIO, OPERATIONAL_DRIVER, BUILDUP, BRIDGE, PROBABILISTIC, ROLLFORWARD, DEBT_SCHEDULE, MANUAL, DERIVED_RULE</t>
        </is>
      </c>
      <c r="E13" s="6" t="inlineStr">
        <is>
          <t>Categorizzazione ortogonale per logica di proiezione, no overlap</t>
        </is>
      </c>
      <c r="F13" s="6" t="inlineStr">
        <is>
          <t>62 method_id</t>
        </is>
      </c>
    </row>
    <row r="14">
      <c r="A14" s="10" t="inlineStr">
        <is>
          <t>P1.10</t>
        </is>
      </c>
      <c r="B14" s="8" t="inlineStr">
        <is>
          <t>Fase 1</t>
        </is>
      </c>
      <c r="C14" s="8" t="inlineStr">
        <is>
          <t>Schema voce</t>
        </is>
      </c>
      <c r="D14" s="8" t="inlineStr">
        <is>
          <t>Ogni voce dichiara: nature (driver/derived/reference/placeholder), sign_convention, default_method, calc_phase, denominator_voice (se ratio), flow_voice (se rollforward), derivation_rule (se derived)</t>
        </is>
      </c>
      <c r="E14" s="8" t="inlineStr">
        <is>
          <t>Schema permette engine deterministico runtime</t>
        </is>
      </c>
      <c r="F14" s="8" t="inlineStr">
        <is>
          <t>207 voci</t>
        </is>
      </c>
    </row>
    <row r="15">
      <c r="A15" s="9" t="inlineStr">
        <is>
          <t>P1.11</t>
        </is>
      </c>
      <c r="B15" s="6" t="inlineStr">
        <is>
          <t>Fase 1</t>
        </is>
      </c>
      <c r="C15" s="6" t="inlineStr">
        <is>
          <t>Schema metodo</t>
        </is>
      </c>
      <c r="D15" s="6" t="inlineStr">
        <is>
          <t>Ogni metodo dichiara: formula_expression Python evaluabile, inputs (anchor/consuntivo/drivers/exogenous/assumptions), applicable_voices, complexity, output_unit/sign, fallback_method_id</t>
        </is>
      </c>
      <c r="E15" s="6" t="inlineStr">
        <is>
          <t>Schema permette engine deterministico + fallback chain</t>
        </is>
      </c>
      <c r="F15" s="6" t="inlineStr">
        <is>
          <t>62 method_id</t>
        </is>
      </c>
    </row>
    <row r="16">
      <c r="A16" s="10" t="inlineStr">
        <is>
          <t>P1.12</t>
        </is>
      </c>
      <c r="B16" s="8" t="inlineStr">
        <is>
          <t>Fase 1</t>
        </is>
      </c>
      <c r="C16" s="8" t="inlineStr">
        <is>
          <t>Tier minimo eseguibile</t>
        </is>
      </c>
      <c r="D16" s="8" t="inlineStr">
        <is>
          <t>TIER 1 = 28 voci minime eseguibili (P&amp;L+SP aggregati); engine funziona anche con dati limitati</t>
        </is>
      </c>
      <c r="E16" s="8" t="inlineStr">
        <is>
          <t>Permette scaling progressivo da piano sintetico a piano dettagliato</t>
        </is>
      </c>
      <c r="F16" s="8" t="inlineStr">
        <is>
          <t>Step 9</t>
        </is>
      </c>
    </row>
    <row r="17">
      <c r="A17" s="9" t="inlineStr">
        <is>
          <t>P1.13</t>
        </is>
      </c>
      <c r="B17" s="6" t="inlineStr">
        <is>
          <t>Fase 1</t>
        </is>
      </c>
      <c r="C17" s="6" t="inlineStr">
        <is>
          <t>Naming convention method_id</t>
        </is>
      </c>
      <c r="D17" s="6" t="inlineStr">
        <is>
          <t>lowercase_underscore parlante (es. pct_net_revenue), no abbreviazioni, no version number</t>
        </is>
      </c>
      <c r="E17" s="6" t="inlineStr">
        <is>
          <t>Leggibilità per advisor non tecnico</t>
        </is>
      </c>
      <c r="F17" s="6" t="inlineStr">
        <is>
          <t>62 method_id</t>
        </is>
      </c>
    </row>
    <row r="18">
      <c r="A18" s="10" t="inlineStr">
        <is>
          <t>P1.14</t>
        </is>
      </c>
      <c r="B18" s="8" t="inlineStr">
        <is>
          <t>Fase 1</t>
        </is>
      </c>
      <c r="C18" s="8" t="inlineStr">
        <is>
          <t>Naming voice_id</t>
        </is>
      </c>
      <c r="D18" s="8" t="inlineStr">
        <is>
          <t>lowercase con dots (es. pl.rev.gross.product_sales), no spazi, no caratteri speciali</t>
        </is>
      </c>
      <c r="E18" s="8" t="inlineStr">
        <is>
          <t>Parsing facile, namespace gerarchico</t>
        </is>
      </c>
      <c r="F18" s="8" t="inlineStr">
        <is>
          <t>207 voci</t>
        </is>
      </c>
    </row>
    <row r="19">
      <c r="A19" s="9" t="inlineStr">
        <is>
          <t>P1.15</t>
        </is>
      </c>
      <c r="B19" s="6" t="inlineStr">
        <is>
          <t>Fase 1</t>
        </is>
      </c>
      <c r="C19" s="6" t="inlineStr">
        <is>
          <t>Driver vs derived vs reference vs placeholder</t>
        </is>
      </c>
      <c r="D19" s="6" t="inlineStr">
        <is>
          <t>4 nature voci: driver (proiettato), derived (calcolato da regola), reference (Y0 actual + lag), placeholder (M&amp;A/extraordinary, default 0)</t>
        </is>
      </c>
      <c r="E19" s="6" t="inlineStr">
        <is>
          <t>Distinzione esplicita per engine ordering</t>
        </is>
      </c>
      <c r="F19" s="6" t="inlineStr">
        <is>
          <t>207 voci classificate</t>
        </is>
      </c>
    </row>
    <row r="20">
      <c r="A20" s="10" t="inlineStr">
        <is>
          <t>P1.16</t>
        </is>
      </c>
      <c r="B20" s="8" t="inlineStr">
        <is>
          <t>Fase 1</t>
        </is>
      </c>
      <c r="C20" s="8" t="inlineStr">
        <is>
          <t>Recurrence flag</t>
        </is>
      </c>
      <c r="D20" s="8" t="inlineStr">
        <is>
          <t>Ogni voce/metodo flag: recurring | non_recurring_extraordinary</t>
        </is>
      </c>
      <c r="E20" s="8" t="inlineStr">
        <is>
          <t>Permette calcolo metriche adjusted (ebitda_adjusted, ebit_adjusted)</t>
        </is>
      </c>
      <c r="F20" s="8" t="inlineStr">
        <is>
          <t>Voci con flag, KPI adjusted</t>
        </is>
      </c>
    </row>
    <row r="21">
      <c r="A21" s="9" t="inlineStr">
        <is>
          <t>P1.17</t>
        </is>
      </c>
      <c r="B21" s="6" t="inlineStr">
        <is>
          <t>Fase 1</t>
        </is>
      </c>
      <c r="C21" s="6" t="inlineStr">
        <is>
          <t>Default conservativo</t>
        </is>
      </c>
      <c r="D21" s="6" t="inlineStr">
        <is>
          <t>Voci episodiche (M&amp;A, carve-out, restructuring): default manual_zero</t>
        </is>
      </c>
      <c r="E21" s="6" t="inlineStr">
        <is>
          <t>Conservativo, non auto-popola assumptions</t>
        </is>
      </c>
      <c r="F21" s="6" t="inlineStr">
        <is>
          <t>8 voci placeholder</t>
        </is>
      </c>
    </row>
    <row r="22">
      <c r="A22" s="10" t="inlineStr">
        <is>
          <t>P1.18</t>
        </is>
      </c>
      <c r="B22" s="8" t="inlineStr">
        <is>
          <t>Fase 1</t>
        </is>
      </c>
      <c r="C22" s="8" t="inlineStr">
        <is>
          <t>Fallback chain</t>
        </is>
      </c>
      <c r="D22" s="8" t="inlineStr">
        <is>
          <t>Ogni metodo dichiara fallback_method_id (es. volume_price → historical_avg_growth → flat)</t>
        </is>
      </c>
      <c r="E22" s="8" t="inlineStr">
        <is>
          <t>Resilienza engine quando driver TIER 3 mancano</t>
        </is>
      </c>
      <c r="F22" s="8" t="inlineStr">
        <is>
          <t>Tutti i metodi</t>
        </is>
      </c>
    </row>
    <row r="23">
      <c r="A23" s="9" t="inlineStr">
        <is>
          <t>P1.19</t>
        </is>
      </c>
      <c r="B23" s="6" t="inlineStr">
        <is>
          <t>Fase 1</t>
        </is>
      </c>
      <c r="C23" s="6" t="inlineStr">
        <is>
          <t>Cash convention</t>
        </is>
      </c>
      <c r="D23" s="6" t="inlineStr">
        <is>
          <t>Cash è derived da CF (cash_identity_from_cf, R_DRV_005), non driver</t>
        </is>
      </c>
      <c r="E23" s="6" t="inlineStr">
        <is>
          <t>Cash è output del modello, non assumption</t>
        </is>
      </c>
      <c r="F23" s="6" t="inlineStr">
        <is>
          <t>bs.nfp.cash</t>
        </is>
      </c>
    </row>
    <row r="24">
      <c r="A24" s="10" t="inlineStr">
        <is>
          <t>P1.20</t>
        </is>
      </c>
      <c r="B24" s="8" t="inlineStr">
        <is>
          <t>Fase 1</t>
        </is>
      </c>
      <c r="C24" s="8" t="inlineStr">
        <is>
          <t>Net income convention</t>
        </is>
      </c>
      <c r="D24" s="8" t="inlineStr">
        <is>
          <t>Net income è derived (= ebt + tax.total), non driver</t>
        </is>
      </c>
      <c r="E24" s="8" t="inlineStr">
        <is>
          <t>Catena P&amp;L bottom-up deterministica</t>
        </is>
      </c>
      <c r="F24" s="8" t="inlineStr">
        <is>
          <t>pl.net_income</t>
        </is>
      </c>
    </row>
    <row r="25">
      <c r="A25" s="9" t="inlineStr">
        <is>
          <t>P1.21</t>
        </is>
      </c>
      <c r="B25" s="6" t="inlineStr">
        <is>
          <t>Fase 1</t>
        </is>
      </c>
      <c r="C25" s="6" t="inlineStr">
        <is>
          <t>Subtotal aggregation</t>
        </is>
      </c>
      <c r="D25" s="6" t="inlineStr">
        <is>
          <t>Subtotali (gross_total, opex.total, ecc.) sempre derived via R_DRV_017</t>
        </is>
      </c>
      <c r="E25" s="6" t="inlineStr">
        <is>
          <t>No hardcoding, no override possibile, integrità contabile</t>
        </is>
      </c>
      <c r="F25" s="6" t="inlineStr">
        <is>
          <t>Tutti i subtotali</t>
        </is>
      </c>
    </row>
    <row r="26">
      <c r="A26" s="10" t="inlineStr">
        <is>
          <t>P1.22</t>
        </is>
      </c>
      <c r="B26" s="8" t="inlineStr">
        <is>
          <t>Fase 1</t>
        </is>
      </c>
      <c r="C26" s="8" t="inlineStr">
        <is>
          <t>ROU ↔ lease liability</t>
        </is>
      </c>
      <c r="D26" s="8" t="inlineStr">
        <is>
          <t>bs.nfp.lease_liability.new_contracts derived da -bs.fa.rou.new_contracts (P22)</t>
        </is>
      </c>
      <c r="E26" s="8" t="inlineStr">
        <is>
          <t>Identità IFRS 16: nascita lease aumenta entrambi pari pari</t>
        </is>
      </c>
      <c r="F26" s="8" t="inlineStr">
        <is>
          <t>AI_004</t>
        </is>
      </c>
    </row>
    <row r="27">
      <c r="A27" s="9" t="inlineStr">
        <is>
          <t>P1.23</t>
        </is>
      </c>
      <c r="B27" s="6" t="inlineStr">
        <is>
          <t>Fase 1</t>
        </is>
      </c>
      <c r="C27" s="6" t="inlineStr">
        <is>
          <t>Identity actuarial</t>
        </is>
      </c>
      <c r="D27" s="6" t="inlineStr">
        <is>
          <t>bs.equity.capital.oci_movement riceve identity flow da bs.employee_benefits.actuarial_changes</t>
        </is>
      </c>
      <c r="E27" s="6" t="inlineStr">
        <is>
          <t>IAS 19: actuarial changes flussano a OCI</t>
        </is>
      </c>
      <c r="F27" s="6" t="inlineStr">
        <is>
          <t>Sequenziamento E5→E6</t>
        </is>
      </c>
    </row>
    <row r="28">
      <c r="A28" s="10" t="inlineStr">
        <is>
          <t>P1.24</t>
        </is>
      </c>
      <c r="B28" s="8" t="inlineStr">
        <is>
          <t>Fase 1</t>
        </is>
      </c>
      <c r="C28" s="8" t="inlineStr">
        <is>
          <t>EBITDA computed</t>
        </is>
      </c>
      <c r="D28" s="8" t="inlineStr">
        <is>
          <t>pl.ebitda = pl.gross_profit + pl.opex.total + pl.provisions.total (somma algebrica)</t>
        </is>
      </c>
      <c r="E28" s="8" t="inlineStr">
        <is>
          <t>Sign convention IFRS permette somma algebrica</t>
        </is>
      </c>
      <c r="F28" s="8" t="inlineStr">
        <is>
          <t>AI_007</t>
        </is>
      </c>
    </row>
    <row r="29">
      <c r="A29" s="9" t="inlineStr">
        <is>
          <t>P1.25</t>
        </is>
      </c>
      <c r="B29" s="6" t="inlineStr">
        <is>
          <t>Fase 1</t>
        </is>
      </c>
      <c r="C29" s="6" t="inlineStr">
        <is>
          <t>EBIT computed</t>
        </is>
      </c>
      <c r="D29" s="6" t="inlineStr">
        <is>
          <t>pl.ebit = pl.ebitda + pl.da.total + pl.impairment.total</t>
        </is>
      </c>
      <c r="E29" s="6" t="inlineStr">
        <is>
          <t>Splitting D&amp;A vs impairment per chiarezza</t>
        </is>
      </c>
      <c r="F29" s="6" t="inlineStr">
        <is>
          <t>AI_008</t>
        </is>
      </c>
    </row>
    <row r="30">
      <c r="A30" s="10" t="inlineStr">
        <is>
          <t>P1.26</t>
        </is>
      </c>
      <c r="B30" s="8" t="inlineStr">
        <is>
          <t>Fase 1</t>
        </is>
      </c>
      <c r="C30" s="8" t="inlineStr">
        <is>
          <t>Goodwill</t>
        </is>
      </c>
      <c r="D30" s="8" t="inlineStr">
        <is>
          <t>Goodwill: gross_open + acquisitions - impairment (no acc_amort, IAS 36 prevede solo impairment)</t>
        </is>
      </c>
      <c r="E30" s="8" t="inlineStr">
        <is>
          <t>Conformità IAS 36</t>
        </is>
      </c>
      <c r="F30" s="8" t="inlineStr">
        <is>
          <t>bs.fa.intangible.goodwill_*</t>
        </is>
      </c>
    </row>
    <row r="31">
      <c r="A31" s="9" t="inlineStr">
        <is>
          <t>P1.27</t>
        </is>
      </c>
      <c r="B31" s="6" t="inlineStr">
        <is>
          <t>Fase 1</t>
        </is>
      </c>
      <c r="C31" s="6" t="inlineStr">
        <is>
          <t>Tax pilot default</t>
        </is>
      </c>
      <c r="D31" s="6" t="inlineStr">
        <is>
          <t>tax_current_etr_simplified default: -1*max(0, ebt)*etr (max(0,ebt) per evitare benefit fiscale automatico)</t>
        </is>
      </c>
      <c r="E31" s="6" t="inlineStr">
        <is>
          <t>Conservativo: NOL non auto-applicato (advanced mode opzionale)</t>
        </is>
      </c>
      <c r="F31" s="6" t="inlineStr">
        <is>
          <t>R_DRV_009</t>
        </is>
      </c>
    </row>
    <row r="32">
      <c r="A32" s="10" t="inlineStr">
        <is>
          <t>P1.28</t>
        </is>
      </c>
      <c r="B32" s="8" t="inlineStr">
        <is>
          <t>Fase 1</t>
        </is>
      </c>
      <c r="C32" s="8" t="inlineStr">
        <is>
          <t>D&amp;A convention</t>
        </is>
      </c>
      <c r="D32" s="8" t="inlineStr">
        <is>
          <t>Mid-year convention: D&amp;A = max(0, gross_avg - non_depreciable) / useful_life</t>
        </is>
      </c>
      <c r="E32" s="8" t="inlineStr">
        <is>
          <t>Approssimazione management standard, no vintage tracking</t>
        </is>
      </c>
      <c r="F32" s="8" t="inlineStr">
        <is>
          <t>R_DRV_001, APX_003</t>
        </is>
      </c>
    </row>
    <row r="33">
      <c r="A33" s="9" t="inlineStr">
        <is>
          <t>P1.29</t>
        </is>
      </c>
      <c r="B33" s="6" t="inlineStr">
        <is>
          <t>Fase 1</t>
        </is>
      </c>
      <c r="C33" s="6" t="inlineStr">
        <is>
          <t>Disposals semplificati</t>
        </is>
      </c>
      <c r="D33" s="6" t="inlineStr">
        <is>
          <t>Vendita a NBV: gross e acc_depr ridotti pari pari, no plus/minus auto</t>
        </is>
      </c>
      <c r="E33" s="6" t="inlineStr">
        <is>
          <t>Plus/minus modellati esplicitamente in pl.other.non_operating_extraordinary</t>
        </is>
      </c>
      <c r="F33" s="6" t="inlineStr">
        <is>
          <t>APX_009</t>
        </is>
      </c>
    </row>
    <row r="34">
      <c r="A34" s="10" t="inlineStr">
        <is>
          <t>P1.30</t>
        </is>
      </c>
      <c r="B34" s="8" t="inlineStr">
        <is>
          <t>Fase 1</t>
        </is>
      </c>
      <c r="C34" s="8" t="inlineStr">
        <is>
          <t>VAT bilanci</t>
        </is>
      </c>
      <c r="D34" s="8" t="inlineStr">
        <is>
          <t>Calcolati su periodi unpaid medi (avg_periods_unpaid_pay/rec), no schedule mensile</t>
        </is>
      </c>
      <c r="E34" s="8" t="inlineStr">
        <is>
          <t>Annual granularity sufficiente per pilot</t>
        </is>
      </c>
      <c r="F34" s="8" t="inlineStr">
        <is>
          <t>M_RAT_021, APX_010</t>
        </is>
      </c>
    </row>
    <row r="35">
      <c r="A35" s="9" t="inlineStr">
        <is>
          <t>P1.31</t>
        </is>
      </c>
      <c r="B35" s="6" t="inlineStr">
        <is>
          <t>Fase 1</t>
        </is>
      </c>
      <c r="C35" s="6" t="inlineStr">
        <is>
          <t>Investment property pilot</t>
        </is>
      </c>
      <c r="D35" s="6" t="inlineStr">
        <is>
          <t>Solo modello FV (IAS 40), no D&amp;A; fv_revaluation flussa a P&amp;L via voce derived</t>
        </is>
      </c>
      <c r="E35" s="6" t="inlineStr">
        <is>
          <t>Modello FV scelto vs cost model per uniformità</t>
        </is>
      </c>
      <c r="F35" s="6" t="inlineStr">
        <is>
          <t>pl.other.fair_value_gain_loss_investment_property</t>
        </is>
      </c>
    </row>
    <row r="36">
      <c r="A36" s="10" t="inlineStr">
        <is>
          <t>P1.32</t>
        </is>
      </c>
      <c r="B36" s="8" t="inlineStr">
        <is>
          <t>Fase 1</t>
        </is>
      </c>
      <c r="C36" s="8" t="inlineStr">
        <is>
          <t>Equity method pilot</t>
        </is>
      </c>
      <c r="D36" s="8" t="inlineStr">
        <is>
          <t>manual_zero_placeholder: no roll-forward partecipazioni</t>
        </is>
      </c>
      <c r="E36" s="8" t="inlineStr">
        <is>
          <t>Mono-perimetro pilot</t>
        </is>
      </c>
      <c r="F36" s="8" t="inlineStr">
        <is>
          <t>pl.equity_method_result, APX_015</t>
        </is>
      </c>
    </row>
    <row r="37">
      <c r="A37" s="9" t="inlineStr">
        <is>
          <t>P1.33</t>
        </is>
      </c>
      <c r="B37" s="6" t="inlineStr">
        <is>
          <t>Fase 1</t>
        </is>
      </c>
      <c r="C37" s="6" t="inlineStr">
        <is>
          <t>FX gain/loss pilot</t>
        </is>
      </c>
      <c r="D37" s="6" t="inlineStr">
        <is>
          <t>manual_zero_placeholder: no FX engine</t>
        </is>
      </c>
      <c r="E37" s="6" t="inlineStr">
        <is>
          <t>Mono-currency pilot</t>
        </is>
      </c>
      <c r="F37" s="6" t="inlineStr">
        <is>
          <t>pl.financial.fx_gain_loss</t>
        </is>
      </c>
    </row>
    <row r="38">
      <c r="A38" s="10" t="inlineStr">
        <is>
          <t>P1.34</t>
        </is>
      </c>
      <c r="B38" s="8" t="inlineStr">
        <is>
          <t>Fase 1</t>
        </is>
      </c>
      <c r="C38" s="8" t="inlineStr">
        <is>
          <t>Headcount granularity</t>
        </is>
      </c>
      <c r="D38" s="8" t="inlineStr">
        <is>
          <t>5 dataset FTE distinti per funzione (cogs_labour_direct, opex_sm_personnel, opex_ga_personnel, opex_rd_personnel, opex_customer_support)</t>
        </is>
      </c>
      <c r="E38" s="8" t="inlineStr">
        <is>
          <t>Granularità sufficiente per business reali, evita over-engineering</t>
        </is>
      </c>
      <c r="F38" s="8" t="inlineStr">
        <is>
          <t>TIER 3</t>
        </is>
      </c>
    </row>
    <row r="39">
      <c r="A39" s="9" t="inlineStr">
        <is>
          <t>P1.35</t>
        </is>
      </c>
      <c r="B39" s="6" t="inlineStr">
        <is>
          <t>Fase 1</t>
        </is>
      </c>
      <c r="C39" s="6" t="inlineStr">
        <is>
          <t>Engine output</t>
        </is>
      </c>
      <c r="D39" s="6" t="inlineStr">
        <is>
          <t>Piano integrato P&amp;L+SP+CF + KPI prospettici + validation report + approximation log + exclusions log</t>
        </is>
      </c>
      <c r="E39" s="6" t="inlineStr">
        <is>
          <t>Output completo per advisory + tracciabilità</t>
        </is>
      </c>
      <c r="F39" s="6" t="inlineStr">
        <is>
          <t>Tutti deliverable engine</t>
        </is>
      </c>
    </row>
    <row r="40">
      <c r="A40" s="10" t="inlineStr">
        <is>
          <t>P1.36</t>
        </is>
      </c>
      <c r="B40" s="8" t="inlineStr">
        <is>
          <t>Fase 1</t>
        </is>
      </c>
      <c r="C40" s="8" t="inlineStr">
        <is>
          <t>Cross-reference integrity</t>
        </is>
      </c>
      <c r="D40" s="8" t="inlineStr">
        <is>
          <t>Tutti method.inputs.consuntivo devono puntare a voce esistente in voice_registry; tutti method.default_kpi_id devono puntare a kpi esistente in kpi_registry</t>
        </is>
      </c>
      <c r="E40" s="8" t="inlineStr">
        <is>
          <t>0 cross-reference orfane (verifica DI_009, DI_010)</t>
        </is>
      </c>
      <c r="F40" s="8" t="inlineStr">
        <is>
          <t>Validation</t>
        </is>
      </c>
    </row>
    <row r="41">
      <c r="A41" s="9" t="inlineStr">
        <is>
          <t>P1.37</t>
        </is>
      </c>
      <c r="B41" s="6" t="inlineStr">
        <is>
          <t>Fase 1</t>
        </is>
      </c>
      <c r="C41" s="6" t="inlineStr">
        <is>
          <t>ap.purchases_base user-defined</t>
        </is>
      </c>
      <c r="D41" s="6" t="inlineStr">
        <is>
          <t>bs.nwc.ap.purchases_base = formula user-defined; default: pl.cogs.total - pl.cogs.labour.direct + pl.opex.ga.professional_fees + facilities + IT</t>
        </is>
      </c>
      <c r="E41" s="6" t="inlineStr">
        <is>
          <t>Variabilità di approccio, no formula imposed</t>
        </is>
      </c>
      <c r="F41" s="6" t="inlineStr">
        <is>
          <t>bs.nwc.ap.purchases_base</t>
        </is>
      </c>
    </row>
    <row r="42">
      <c r="A42" s="10" t="inlineStr">
        <is>
          <t>P1.38</t>
        </is>
      </c>
      <c r="B42" s="8" t="inlineStr">
        <is>
          <t>Fase 1</t>
        </is>
      </c>
      <c r="C42" s="8" t="inlineStr">
        <is>
          <t>Validation framework</t>
        </is>
      </c>
      <c r="D42" s="8" t="inlineStr">
        <is>
          <t>73 regole in 7 categorie (data_integrity block, accounting_identity error, sign_consistency error, range_plausibility warning, cross_period warning, configuration error, calculation_quality info)</t>
        </is>
      </c>
      <c r="E42" s="8" t="inlineStr">
        <is>
          <t>Coverage completa: input, calcolo, output</t>
        </is>
      </c>
      <c r="F42" s="8" t="inlineStr">
        <is>
          <t>73 regole Step 8</t>
        </is>
      </c>
    </row>
    <row r="43">
      <c r="A43" s="9" t="inlineStr">
        <is>
          <t>P2.1</t>
        </is>
      </c>
      <c r="B43" s="6" t="inlineStr">
        <is>
          <t>Fase 2</t>
        </is>
      </c>
      <c r="C43" s="6" t="inlineStr">
        <is>
          <t>Splitting impairment</t>
        </is>
      </c>
      <c r="D43" s="6" t="inlineStr">
        <is>
          <t>pl.da.impairment_oneoff splittato in pl.impairment.{ppe, intangibles, goodwill, total}</t>
        </is>
      </c>
      <c r="E43" s="6" t="inlineStr">
        <is>
          <t>Granularità critica per IAS 36 (goodwill impairment è non-operative)</t>
        </is>
      </c>
      <c r="F43" s="6" t="inlineStr">
        <is>
          <t>4 voci nuove, critica 3.8 Doc 1</t>
        </is>
      </c>
    </row>
    <row r="44">
      <c r="A44" s="10" t="inlineStr">
        <is>
          <t>P2.2</t>
        </is>
      </c>
      <c r="B44" s="8" t="inlineStr">
        <is>
          <t>Fase 2</t>
        </is>
      </c>
      <c r="C44" s="8" t="inlineStr">
        <is>
          <t>FV gain/loss IP separato</t>
        </is>
      </c>
      <c r="D44" s="8" t="inlineStr">
        <is>
          <t>Voce nuova pl.other.fair_value_gain_loss_investment_property in non_operating</t>
        </is>
      </c>
      <c r="E44" s="8" t="inlineStr">
        <is>
          <t>IAS 40 FV model richiede voce esplicita</t>
        </is>
      </c>
      <c r="F44" s="8" t="inlineStr">
        <is>
          <t>1 voce nuova, critica 2.9 Doc 1</t>
        </is>
      </c>
    </row>
    <row r="45">
      <c r="A45" s="9" t="inlineStr">
        <is>
          <t>P2.3</t>
        </is>
      </c>
      <c r="B45" s="6" t="inlineStr">
        <is>
          <t>Fase 2</t>
        </is>
      </c>
      <c r="C45" s="6" t="inlineStr">
        <is>
          <t>Investment property FV default</t>
        </is>
      </c>
      <c r="D45" s="6" t="inlineStr">
        <is>
          <t>fv_revaluation default: manual_zero (conservativo)</t>
        </is>
      </c>
      <c r="E45" s="6" t="inlineStr">
        <is>
          <t>Asimmetrico (high error se realmente FV); utente esplicita se materiale</t>
        </is>
      </c>
      <c r="F45" s="6" t="inlineStr">
        <is>
          <t>APX_007</t>
        </is>
      </c>
    </row>
    <row r="46">
      <c r="A46" s="10" t="inlineStr">
        <is>
          <t>P2.4</t>
        </is>
      </c>
      <c r="B46" s="8" t="inlineStr">
        <is>
          <t>Fase 2</t>
        </is>
      </c>
      <c r="C46" s="8" t="inlineStr">
        <is>
          <t>Tax permanent_differences voce</t>
        </is>
      </c>
      <c r="D46" s="8" t="inlineStr">
        <is>
          <t>Voce pl.tax.permanent_differences aggiunta come driver (default 0)</t>
        </is>
      </c>
      <c r="E46" s="8" t="inlineStr">
        <is>
          <t>Permette catena tax advanced opzionale</t>
        </is>
      </c>
      <c r="F46" s="8" t="inlineStr">
        <is>
          <t>1 voce nuova</t>
        </is>
      </c>
    </row>
    <row r="47">
      <c r="A47" s="9" t="inlineStr">
        <is>
          <t>P2.5</t>
        </is>
      </c>
      <c r="B47" s="6" t="inlineStr">
        <is>
          <t>Fase 2</t>
        </is>
      </c>
      <c r="C47" s="6" t="inlineStr">
        <is>
          <t>NOL carryforward voci</t>
        </is>
      </c>
      <c r="D47" s="6" t="inlineStr">
        <is>
          <t>Voci bs.tax.nol_carryforward.{open, close} aggiunte per advanced tax</t>
        </is>
      </c>
      <c r="E47" s="6" t="inlineStr">
        <is>
          <t>Permette catena R_DRV_011-013</t>
        </is>
      </c>
      <c r="F47" s="6" t="inlineStr">
        <is>
          <t>2 voci nuove</t>
        </is>
      </c>
    </row>
    <row r="48">
      <c r="A48" s="10" t="inlineStr">
        <is>
          <t>P2.6</t>
        </is>
      </c>
      <c r="B48" s="8" t="inlineStr">
        <is>
          <t>Fase 2</t>
        </is>
      </c>
      <c r="C48" s="8" t="inlineStr">
        <is>
          <t>EBT max(0, .) tax</t>
        </is>
      </c>
      <c r="D48" s="8" t="inlineStr">
        <is>
          <t>tax_current_etr_simplified: -1*max(0, ebt)*etr (non solo ebt*etr)</t>
        </is>
      </c>
      <c r="E48" s="8" t="inlineStr">
        <is>
          <t>Evita beneficio fiscale automatico se ebt &lt; 0; NOL gestito esplicitamente in advanced mode</t>
        </is>
      </c>
      <c r="F48" s="8" t="inlineStr">
        <is>
          <t>Critica 2.6 Doc 1</t>
        </is>
      </c>
    </row>
    <row r="49">
      <c r="A49" s="9" t="inlineStr">
        <is>
          <t>P2.7</t>
        </is>
      </c>
      <c r="B49" s="6" t="inlineStr">
        <is>
          <t>Fase 2</t>
        </is>
      </c>
      <c r="C49" s="6" t="inlineStr">
        <is>
          <t>Catena tax advanced</t>
        </is>
      </c>
      <c r="D49" s="6" t="inlineStr">
        <is>
          <t>3 nuove derived: R_DRV_011 taxable_income_bridge, R_DRV_012 nol_utilization, R_DRV_013 current_tax_with_nol</t>
        </is>
      </c>
      <c r="E49" s="6" t="inlineStr">
        <is>
          <t>Estensione opzionale per business con NOL significativi (es. startup, perdite ripetute)</t>
        </is>
      </c>
      <c r="F49" s="6" t="inlineStr">
        <is>
          <t>3 derived rule, TIER 4.L</t>
        </is>
      </c>
    </row>
    <row r="50">
      <c r="A50" s="10" t="inlineStr">
        <is>
          <t>P2.8</t>
        </is>
      </c>
      <c r="B50" s="8" t="inlineStr">
        <is>
          <t>Fase 2</t>
        </is>
      </c>
      <c r="C50" s="8" t="inlineStr">
        <is>
          <t>Default rev license</t>
        </is>
      </c>
      <c r="D50" s="8" t="inlineStr">
        <is>
          <t>pl.rev.gross.license: default cambiato da Z.1 (rollforward) a historical_avg_growth</t>
        </is>
      </c>
      <c r="E50" s="8" t="inlineStr">
        <is>
          <t>License revenue ha tipicamente trend, no flat</t>
        </is>
      </c>
      <c r="F50" s="8" t="inlineStr">
        <is>
          <t>Critica 3.5 Doc 1</t>
        </is>
      </c>
    </row>
    <row r="51">
      <c r="A51" s="9" t="inlineStr">
        <is>
          <t>P2.9</t>
        </is>
      </c>
      <c r="B51" s="6" t="inlineStr">
        <is>
          <t>Fase 2</t>
        </is>
      </c>
      <c r="C51" s="6" t="inlineStr">
        <is>
          <t>ARR bridge SaaS</t>
        </is>
      </c>
      <c r="D51" s="6" t="inlineStr">
        <is>
          <t>Nuovo metodo arr_bridge (M_BRG_002) per SaaS subscription</t>
        </is>
      </c>
      <c r="E51" s="6" t="inlineStr">
        <is>
          <t>SaaS-specific, formula = arr[t-1] + new + expansion - contraction - churn</t>
        </is>
      </c>
      <c r="F51" s="6" t="inlineStr">
        <is>
          <t>1 metodo nuovo, sector pack SaaS</t>
        </is>
      </c>
    </row>
    <row r="52">
      <c r="A52" s="10" t="inlineStr">
        <is>
          <t>P2.10</t>
        </is>
      </c>
      <c r="B52" s="8" t="inlineStr">
        <is>
          <t>Fase 2</t>
        </is>
      </c>
      <c r="C52" s="8" t="inlineStr">
        <is>
          <t>Term loan annuity</t>
        </is>
      </c>
      <c r="D52" s="8" t="inlineStr">
        <is>
          <t>Nuovo metodo term_loan_amortization_annuity (M_DBT_002): rata costante</t>
        </is>
      </c>
      <c r="E52" s="8" t="inlineStr">
        <is>
          <t>Alternativa a profilo lineare, comune in finanziamenti corporate</t>
        </is>
      </c>
      <c r="F52" s="8" t="inlineStr">
        <is>
          <t>1 metodo nuovo</t>
        </is>
      </c>
    </row>
    <row r="53">
      <c r="A53" s="9" t="inlineStr">
        <is>
          <t>P2.11</t>
        </is>
      </c>
      <c r="B53" s="6" t="inlineStr">
        <is>
          <t>Fase 2</t>
        </is>
      </c>
      <c r="C53" s="6" t="inlineStr">
        <is>
          <t>Sector pack SaaS default</t>
        </is>
      </c>
      <c r="D53" s="6" t="inlineStr">
        <is>
          <t>Sector pack saas: pl.rev.gross.subscription default arr_bridge invece di historical_avg_growth</t>
        </is>
      </c>
      <c r="E53" s="6" t="inlineStr">
        <is>
          <t>Default condizionale: SaaS ha sempre componenti new/exp/churn modellate</t>
        </is>
      </c>
      <c r="F53" s="6" t="inlineStr">
        <is>
          <t>Sector pack saas</t>
        </is>
      </c>
    </row>
    <row r="54">
      <c r="A54" s="10" t="inlineStr">
        <is>
          <t>P2.12</t>
        </is>
      </c>
      <c r="B54" s="8" t="inlineStr">
        <is>
          <t>Fase 2</t>
        </is>
      </c>
      <c r="C54" s="8" t="inlineStr">
        <is>
          <t>bs.fa.financial.balance_open</t>
        </is>
      </c>
      <c r="D54" s="8" t="inlineStr">
        <is>
          <t>Voce reference aggiunta (mancava nel registry v1.0)</t>
        </is>
      </c>
      <c r="E54" s="8" t="inlineStr">
        <is>
          <t>Roll-forward financial assets richiede balance_open</t>
        </is>
      </c>
      <c r="F54" s="8" t="inlineStr">
        <is>
          <t>Critica 3.7 Doc 1</t>
        </is>
      </c>
    </row>
    <row r="55">
      <c r="A55" s="9" t="inlineStr">
        <is>
          <t>P2.13</t>
        </is>
      </c>
      <c r="B55" s="6" t="inlineStr">
        <is>
          <t>Fase 2</t>
        </is>
      </c>
      <c r="C55" s="6" t="inlineStr">
        <is>
          <t>Z.7 manual_lease_schedule</t>
        </is>
      </c>
      <c r="D55" s="6" t="inlineStr">
        <is>
          <t>Risolto Z.7 ambiguo → manual_lease_schedule (M_MAN_007) per ROU new_contracts override</t>
        </is>
      </c>
      <c r="E55" s="6" t="inlineStr">
        <is>
          <t>Naming parlante invece di codice generico</t>
        </is>
      </c>
      <c r="F55" s="6" t="inlineStr">
        <is>
          <t>Critica puntuale Doc 1</t>
        </is>
      </c>
    </row>
    <row r="56">
      <c r="A56" s="10" t="inlineStr">
        <is>
          <t>P2.14</t>
        </is>
      </c>
      <c r="B56" s="8" t="inlineStr">
        <is>
          <t>Fase 2</t>
        </is>
      </c>
      <c r="C56" s="8" t="inlineStr">
        <is>
          <t>Z.2 manual_provision_schedule</t>
        </is>
      </c>
      <c r="D56" s="8" t="inlineStr">
        <is>
          <t>Risolto Z.2 ambiguo → manual_provision_schedule (M_MAN_002) per provisions</t>
        </is>
      </c>
      <c r="E56" s="8" t="inlineStr">
        <is>
          <t>Naming parlante</t>
        </is>
      </c>
      <c r="F56" s="8" t="inlineStr">
        <is>
          <t>Critica puntuale Doc 1</t>
        </is>
      </c>
    </row>
    <row r="57">
      <c r="A57" s="9" t="inlineStr">
        <is>
          <t>P2.15</t>
        </is>
      </c>
      <c r="B57" s="6" t="inlineStr">
        <is>
          <t>Fase 2</t>
        </is>
      </c>
      <c r="C57" s="6" t="inlineStr">
        <is>
          <t>Splitting pl.impairment vs pl.da</t>
        </is>
      </c>
      <c r="D57" s="6" t="inlineStr">
        <is>
          <t>Confermato: D&amp;A (recurring) e impairment (non-recurring) sono famiglie distinte</t>
        </is>
      </c>
      <c r="E57" s="6" t="inlineStr">
        <is>
          <t>ebit_adjusted esclude impairment, ebitda_adjusted no</t>
        </is>
      </c>
      <c r="F57" s="6" t="inlineStr">
        <is>
          <t>Splitting voci, KPI adjusted</t>
        </is>
      </c>
    </row>
    <row r="58">
      <c r="A58" s="10" t="inlineStr">
        <is>
          <t>P2.16</t>
        </is>
      </c>
      <c r="B58" s="8" t="inlineStr">
        <is>
          <t>Fase 2</t>
        </is>
      </c>
      <c r="C58" s="8" t="inlineStr">
        <is>
          <t>Scope critiche non integrate</t>
        </is>
      </c>
      <c r="D58" s="8" t="inlineStr">
        <is>
          <t>Critiche GPT su MFG/RE complete/ENE/lease schedule/NWC monthly/RCF plug/TAX advanced/FA vintage/scenario/sensitivity classificate come improvement (IMP_001-016) post-pilot</t>
        </is>
      </c>
      <c r="E58" s="8" t="inlineStr">
        <is>
          <t>Pilot v1.1 mantiene focus su 5 settori core; estensioni in roadmap</t>
        </is>
      </c>
      <c r="F58" s="8" t="inlineStr">
        <is>
          <t>16 IMP</t>
        </is>
      </c>
    </row>
    <row r="59">
      <c r="A59" s="9" t="inlineStr">
        <is>
          <t>P2.17</t>
        </is>
      </c>
      <c r="B59" s="6" t="inlineStr">
        <is>
          <t>Fase 2</t>
        </is>
      </c>
      <c r="C59" s="6" t="inlineStr">
        <is>
          <t>EXC_xxx schema</t>
        </is>
      </c>
      <c r="D59" s="6" t="inlineStr">
        <is>
          <t>Pilot scope exclusions formalizzate con schema: id, area, esclusione, workaround, metodo placeholder, voci impattate, rationale, improvement_id</t>
        </is>
      </c>
      <c r="E59" s="6" t="inlineStr">
        <is>
          <t>Trasparenza limiti pilot</t>
        </is>
      </c>
      <c r="F59" s="6" t="inlineStr">
        <is>
          <t>16 EXC</t>
        </is>
      </c>
    </row>
    <row r="60">
      <c r="A60" s="10" t="inlineStr">
        <is>
          <t>P2.18</t>
        </is>
      </c>
      <c r="B60" s="8" t="inlineStr">
        <is>
          <t>Fase 2</t>
        </is>
      </c>
      <c r="C60" s="8" t="inlineStr">
        <is>
          <t>APX_xxx schema</t>
        </is>
      </c>
      <c r="D60" s="8" t="inlineStr">
        <is>
          <t>Approximation log formalizzato con schema: id, area, approssimazione, stima errore, materiality, detection_rule, improvement_id, rationale</t>
        </is>
      </c>
      <c r="E60" s="8" t="inlineStr">
        <is>
          <t>Trasparenza approssimazioni e errori residui</t>
        </is>
      </c>
      <c r="F60" s="8" t="inlineStr">
        <is>
          <t>15 APX</t>
        </is>
      </c>
    </row>
    <row r="61">
      <c r="A61" s="9" t="inlineStr">
        <is>
          <t>P2.19</t>
        </is>
      </c>
      <c r="B61" s="6" t="inlineStr">
        <is>
          <t>Fase 2</t>
        </is>
      </c>
      <c r="C61" s="6" t="inlineStr">
        <is>
          <t>Errore cumulato target</t>
        </is>
      </c>
      <c r="D61" s="6" t="inlineStr">
        <is>
          <t>Target: &lt;5% NI, &lt;0.5% balance check, &lt;2% any KPI in regime stabile</t>
        </is>
      </c>
      <c r="E61" s="6" t="inlineStr">
        <is>
          <t>Soglia accettabile per piano industriale (vs precision contabile = 0)</t>
        </is>
      </c>
      <c r="F61" s="6" t="inlineStr">
        <is>
          <t>Step 11</t>
        </is>
      </c>
    </row>
    <row r="62">
      <c r="A62" s="10" t="inlineStr">
        <is>
          <t>P2.20</t>
        </is>
      </c>
      <c r="B62" s="8" t="inlineStr">
        <is>
          <t>Fase 2</t>
        </is>
      </c>
      <c r="C62" s="8" t="inlineStr">
        <is>
          <t>Sub-circolarità intra-fase</t>
        </is>
      </c>
      <c r="D62" s="8" t="inlineStr">
        <is>
          <t>Lease accrued (intra-E4) e EB interest (intra-E5) risolte con proxy escludendo interest dal balance medio</t>
        </is>
      </c>
      <c r="E62" s="8" t="inlineStr">
        <is>
          <t>Errore matematicamente trascurabile (= rate^2)</t>
        </is>
      </c>
      <c r="F62" s="8" t="inlineStr">
        <is>
          <t>APX_013</t>
        </is>
      </c>
    </row>
    <row r="63">
      <c r="A63" s="9" t="inlineStr">
        <is>
          <t>P2.21</t>
        </is>
      </c>
      <c r="B63" s="6" t="inlineStr">
        <is>
          <t>Fase 2</t>
        </is>
      </c>
      <c r="C63" s="6" t="inlineStr">
        <is>
          <t>CIT NWC sequenziamento</t>
        </is>
      </c>
      <c r="D63" s="6" t="inlineStr">
        <is>
          <t>Risolta circolarità CIT con sub-fase E7.5: pl.tax.current calcolato in E7, CIT NWC in E7.5, NWC operating definitivo in E7.5</t>
        </is>
      </c>
      <c r="E63" s="6" t="inlineStr">
        <is>
          <t>0 errore (identity-based)</t>
        </is>
      </c>
      <c r="F63" s="6" t="inlineStr">
        <is>
          <t>Step 7, fase E7.5</t>
        </is>
      </c>
    </row>
    <row r="64">
      <c r="A64" s="10" t="inlineStr">
        <is>
          <t>P2.22</t>
        </is>
      </c>
      <c r="B64" s="8" t="inlineStr">
        <is>
          <t>Fase 2</t>
        </is>
      </c>
      <c r="C64" s="8" t="inlineStr">
        <is>
          <t>11 fasi engine</t>
        </is>
      </c>
      <c r="D64" s="8" t="inlineStr">
        <is>
          <t>E0 setup | E1 P&amp;L driver | E2 FA+D&amp;A+impair | E3 NWC+COGS | E3.1 IFRS 15 | E4 NFP+financial | E5 provisions+EB | E6 tax def+equity driver | E7 P&amp;L bottom+RE | E7.5 CIT NWC | E8 CF+cash close+quadratura</t>
        </is>
      </c>
      <c r="E64" s="8" t="inlineStr">
        <is>
          <t>Ordine deterministico con sub-fasi per circolarità</t>
        </is>
      </c>
      <c r="F64" s="8" t="inlineStr">
        <is>
          <t>Step 7</t>
        </is>
      </c>
    </row>
    <row r="65">
      <c r="A65" s="9" t="inlineStr">
        <is>
          <t>P2.23</t>
        </is>
      </c>
      <c r="B65" s="6" t="inlineStr">
        <is>
          <t>Fase 2</t>
        </is>
      </c>
      <c r="C65" s="6" t="inlineStr">
        <is>
          <t>Rev.net doppia istanza</t>
        </is>
      </c>
      <c r="D65" s="6" t="inlineStr">
        <is>
          <t>pl.rev.net calcolato 2 volte: proxy in E1 (per usi denominator), final in E3.1 (post IFRS 15 adjustments)</t>
        </is>
      </c>
      <c r="E65" s="6" t="inlineStr">
        <is>
          <t>Necessario per sequenziamento</t>
        </is>
      </c>
      <c r="F65" s="6" t="inlineStr">
        <is>
          <t>Step 7</t>
        </is>
      </c>
    </row>
    <row r="66">
      <c r="A66" s="10" t="inlineStr">
        <is>
          <t>P2.24</t>
        </is>
      </c>
      <c r="B66" s="8" t="inlineStr">
        <is>
          <t>Fase 2</t>
        </is>
      </c>
      <c r="C66" s="8" t="inlineStr">
        <is>
          <t>COGS doppia istanza</t>
        </is>
      </c>
      <c r="D66" s="8" t="inlineStr">
        <is>
          <t>pl.cogs.total calcolato 2 volte: proxy in E1 (esclude inventory_writeoff e wip_capitalization), final in E3 (con inventory)</t>
        </is>
      </c>
      <c r="E66" s="8" t="inlineStr">
        <is>
          <t>Sequenziamento E1→E3</t>
        </is>
      </c>
      <c r="F66" s="8" t="inlineStr">
        <is>
          <t>Step 7</t>
        </is>
      </c>
    </row>
    <row r="67">
      <c r="A67" s="9" t="inlineStr">
        <is>
          <t>P2.25</t>
        </is>
      </c>
      <c r="B67" s="6" t="inlineStr">
        <is>
          <t>Fase 2</t>
        </is>
      </c>
      <c r="C67" s="6" t="inlineStr">
        <is>
          <t>EBITDA doppia istanza</t>
        </is>
      </c>
      <c r="D67" s="6" t="inlineStr">
        <is>
          <t>pl.ebitda calcolato 2 volte: proxy in E1, final in E3 (con COGS esatto)</t>
        </is>
      </c>
      <c r="E67" s="6" t="inlineStr">
        <is>
          <t>Allineamento con COGS</t>
        </is>
      </c>
      <c r="F67" s="6" t="inlineStr">
        <is>
          <t>Step 7</t>
        </is>
      </c>
    </row>
    <row r="68">
      <c r="A68" s="10" t="inlineStr">
        <is>
          <t>P2.26</t>
        </is>
      </c>
      <c r="B68" s="8" t="inlineStr">
        <is>
          <t>Fase 2</t>
        </is>
      </c>
      <c r="C68" s="8" t="inlineStr">
        <is>
          <t>Validation severity hierarchy</t>
        </is>
      </c>
      <c r="D68" s="8" t="inlineStr">
        <is>
          <t>block (DI_*) halts; error (AI_*, SC_*, CF_*) logs critical; warning (RP_*, CP_*) logs; info (CQ_*) logs</t>
        </is>
      </c>
      <c r="E68" s="8" t="inlineStr">
        <is>
          <t>Permette esecuzione anche con error (per advisory iterativo)</t>
        </is>
      </c>
      <c r="F68" s="8" t="inlineStr">
        <is>
          <t>Step 8</t>
        </is>
      </c>
    </row>
    <row r="69">
      <c r="A69" s="9" t="inlineStr">
        <is>
          <t>P2.27</t>
        </is>
      </c>
      <c r="B69" s="6" t="inlineStr">
        <is>
          <t>Fase 2</t>
        </is>
      </c>
      <c r="C69" s="6" t="inlineStr">
        <is>
          <t>Sector pack overrides</t>
        </is>
      </c>
      <c r="D69" s="6" t="inlineStr">
        <is>
          <t>Pack overrida: active_voices, method_overrides, required_drivers, recommended_kpis, validation_ranges (override RP_xxx)</t>
        </is>
      </c>
      <c r="E69" s="6" t="inlineStr">
        <is>
          <t>Sector-specific behavior senza creare modelli paralleli</t>
        </is>
      </c>
      <c r="F69" s="6" t="inlineStr">
        <is>
          <t>Step 10</t>
        </is>
      </c>
    </row>
    <row r="70">
      <c r="A70" s="10" t="inlineStr">
        <is>
          <t>P2.28</t>
        </is>
      </c>
      <c r="B70" s="8" t="inlineStr">
        <is>
          <t>Fase 2</t>
        </is>
      </c>
      <c r="C70" s="8" t="inlineStr">
        <is>
          <t>TIER 4 method-specific dynamic</t>
        </is>
      </c>
      <c r="D70" s="8" t="inlineStr">
        <is>
          <t>12 sub-tier (TIER 4.A-L) caricati dinamicamente in funzione dei metodi selezionati</t>
        </is>
      </c>
      <c r="E70" s="8" t="inlineStr">
        <is>
          <t>Evita di chiedere driver inutili all'utente</t>
        </is>
      </c>
      <c r="F70" s="8" t="inlineStr">
        <is>
          <t>Step 9</t>
        </is>
      </c>
    </row>
    <row r="71">
      <c r="A71" s="9" t="inlineStr">
        <is>
          <t>P2.29</t>
        </is>
      </c>
      <c r="B71" s="6" t="inlineStr">
        <is>
          <t>Fase 2</t>
        </is>
      </c>
      <c r="C71" s="6" t="inlineStr">
        <is>
          <t>KPI sector_specific minimal SaaS</t>
        </is>
      </c>
      <c r="D71" s="6" t="inlineStr">
        <is>
          <t>Sector pack saas richiede solo 7 KPI custom: ARR_y0, new_arr_rate, expansion_rate, contraction_rate, churn_rate, NRR, GRR</t>
        </is>
      </c>
      <c r="E71" s="6" t="inlineStr">
        <is>
          <t>Minimal viable per arr_bridge; KPI avanzati (LTV, CAC, payback) = improvement</t>
        </is>
      </c>
      <c r="F71" s="6" t="inlineStr">
        <is>
          <t>Sector pack saas</t>
        </is>
      </c>
    </row>
    <row r="72">
      <c r="A72" s="10" t="inlineStr">
        <is>
          <t>P2.30</t>
        </is>
      </c>
      <c r="B72" s="8" t="inlineStr">
        <is>
          <t>Fase 2</t>
        </is>
      </c>
      <c r="C72" s="8" t="inlineStr">
        <is>
          <t>KPI sector_specific minimal Services</t>
        </is>
      </c>
      <c r="D72" s="8" t="inlineStr">
        <is>
          <t>Sector pack services richiede solo 2 KPI custom: utilization_rate, revenue_per_fte</t>
        </is>
      </c>
      <c r="E72" s="8" t="inlineStr">
        <is>
          <t>Minimal viable; KPI avanzati (margin per project, billable_ratio) = improvement</t>
        </is>
      </c>
      <c r="F72" s="8" t="inlineStr">
        <is>
          <t>Sector pack services</t>
        </is>
      </c>
    </row>
    <row r="73">
      <c r="A73" s="9" t="inlineStr">
        <is>
          <t>P2.5.1</t>
        </is>
      </c>
      <c r="B73" s="6" t="inlineStr">
        <is>
          <t>Fase 2.5</t>
        </is>
      </c>
      <c r="C73" s="6" t="inlineStr">
        <is>
          <t>Sign convention chiusa</t>
        </is>
      </c>
      <c r="D73" s="6" t="inlineStr">
        <is>
          <t>Alternativa B IFRS confermata; tolleranza balance check finalizzata</t>
        </is>
      </c>
      <c r="E73" s="6" t="inlineStr">
        <is>
          <t>Step 1 chiuso</t>
        </is>
      </c>
      <c r="F73" s="6" t="inlineStr">
        <is>
          <t>Tutto modello</t>
        </is>
      </c>
    </row>
    <row r="74">
      <c r="A74" s="10" t="inlineStr">
        <is>
          <t>P2.5.2</t>
        </is>
      </c>
      <c r="B74" s="8" t="inlineStr">
        <is>
          <t>Fase 2.5</t>
        </is>
      </c>
      <c r="C74" s="8" t="inlineStr">
        <is>
          <t>ID rinormalizzati</t>
        </is>
      </c>
      <c r="D74" s="8" t="inlineStr">
        <is>
          <t>Sistema 3 livelli formalizzato; correzioni puntuali Doc GPT integrate (Z.2, Z.7, splitting impairment, voce permanent_differences, voce fv_gain_loss_IP)</t>
        </is>
      </c>
      <c r="E74" s="8" t="inlineStr">
        <is>
          <t>Step 2 chiuso</t>
        </is>
      </c>
      <c r="F74" s="8" t="inlineStr">
        <is>
          <t>62 method_id + 19 derived_rule</t>
        </is>
      </c>
    </row>
    <row r="75">
      <c r="A75" s="9" t="inlineStr">
        <is>
          <t>P2.5.3</t>
        </is>
      </c>
      <c r="B75" s="6" t="inlineStr">
        <is>
          <t>Fase 2.5</t>
        </is>
      </c>
      <c r="C75" s="6" t="inlineStr">
        <is>
          <t>Method registry tecnico</t>
        </is>
      </c>
      <c r="D75" s="6" t="inlineStr">
        <is>
          <t>62 method_id + 19 derived_rule formalizzati con schema completo (formula, inputs, applicable_*, complexity, fallback)</t>
        </is>
      </c>
      <c r="E75" s="6" t="inlineStr">
        <is>
          <t>Step 3 chiuso</t>
        </is>
      </c>
      <c r="F75" s="6" t="inlineStr">
        <is>
          <t>81 archetipi</t>
        </is>
      </c>
    </row>
    <row r="76">
      <c r="A76" s="10" t="inlineStr">
        <is>
          <t>P2.5.4</t>
        </is>
      </c>
      <c r="B76" s="8" t="inlineStr">
        <is>
          <t>Fase 2.5</t>
        </is>
      </c>
      <c r="C76" s="8" t="inlineStr">
        <is>
          <t>Voice registry tecnico</t>
        </is>
      </c>
      <c r="D76" s="8" t="inlineStr">
        <is>
          <t>207 voci formalizzate con schema completo (nature, sign, default_method, calc_phase, denom/flow voice, derivation_rule, ifrs_reference, recurrence)</t>
        </is>
      </c>
      <c r="E76" s="8" t="inlineStr">
        <is>
          <t>Step 4 chiuso</t>
        </is>
      </c>
      <c r="F76" s="8" t="inlineStr">
        <is>
          <t>207 voci (PL 69, BS 106, CF 32)</t>
        </is>
      </c>
    </row>
    <row r="77">
      <c r="A77" s="9" t="inlineStr">
        <is>
          <t>P2.5.5</t>
        </is>
      </c>
      <c r="B77" s="6" t="inlineStr">
        <is>
          <t>Fase 2.5</t>
        </is>
      </c>
      <c r="C77" s="6" t="inlineStr">
        <is>
          <t>KPI registry tecnico</t>
        </is>
      </c>
      <c r="D77" s="6" t="inlineStr">
        <is>
          <t>87 KPI in 11 famiglie con schema (num/den come FK voci, formula_template, sign_handling, default_aggregation)</t>
        </is>
      </c>
      <c r="E77" s="6" t="inlineStr">
        <is>
          <t>Step 5 chiuso</t>
        </is>
      </c>
      <c r="F77" s="6" t="inlineStr">
        <is>
          <t>87 KPI</t>
        </is>
      </c>
    </row>
    <row r="78">
      <c r="A78" s="10" t="inlineStr">
        <is>
          <t>P2.5.6</t>
        </is>
      </c>
      <c r="B78" s="8" t="inlineStr">
        <is>
          <t>Fase 2.5</t>
        </is>
      </c>
      <c r="C78" s="8" t="inlineStr">
        <is>
          <t>Dependency graph + cicli</t>
        </is>
      </c>
      <c r="D78" s="8" t="inlineStr">
        <is>
          <t>DAG 207 nodi con dipendenze esplicite; 6 circolarità minori identificate, gestite con proxy/sequenziamento; 0 cicli reali, 0 cross-reference orfane</t>
        </is>
      </c>
      <c r="E78" s="8" t="inlineStr">
        <is>
          <t>Step 6 chiuso</t>
        </is>
      </c>
      <c r="F78" s="8" t="inlineStr">
        <is>
          <t>Dependency graph</t>
        </is>
      </c>
    </row>
    <row r="79">
      <c r="A79" s="9" t="inlineStr">
        <is>
          <t>P2.5.7</t>
        </is>
      </c>
      <c r="B79" s="6" t="inlineStr">
        <is>
          <t>Fase 2.5</t>
        </is>
      </c>
      <c r="C79" s="6" t="inlineStr">
        <is>
          <t>Engine execution order</t>
        </is>
      </c>
      <c r="D79" s="6" t="inlineStr">
        <is>
          <t>11 fasi (E0-E8 con sub E3.1, E7.5) con sub-phase intra-fase ordinate; year loop esplicito Y1→Y2→Y3 sequenziale</t>
        </is>
      </c>
      <c r="E79" s="6" t="inlineStr">
        <is>
          <t>Step 7 chiuso</t>
        </is>
      </c>
      <c r="F79" s="6" t="inlineStr">
        <is>
          <t>Engine ordering</t>
        </is>
      </c>
    </row>
    <row r="80">
      <c r="A80" s="10" t="inlineStr">
        <is>
          <t>P2.5.8</t>
        </is>
      </c>
      <c r="B80" s="8" t="inlineStr">
        <is>
          <t>Fase 2.5</t>
        </is>
      </c>
      <c r="C80" s="8" t="inlineStr">
        <is>
          <t>Validation rules registry</t>
        </is>
      </c>
      <c r="D80" s="8" t="inlineStr">
        <is>
          <t>73 regole con schema (trigger_phase, severity, scope, formula, action_on_failure, fallback_logic); output validation_report YAML strutturato</t>
        </is>
      </c>
      <c r="E80" s="8" t="inlineStr">
        <is>
          <t>Step 8 chiuso</t>
        </is>
      </c>
      <c r="F80" s="8" t="inlineStr">
        <is>
          <t>73 regole</t>
        </is>
      </c>
    </row>
    <row r="81">
      <c r="A81" s="9" t="inlineStr">
        <is>
          <t>P2.5.9</t>
        </is>
      </c>
      <c r="B81" s="6" t="inlineStr">
        <is>
          <t>Fase 2.5</t>
        </is>
      </c>
      <c r="C81" s="6" t="inlineStr">
        <is>
          <t>Data requirement matrix</t>
        </is>
      </c>
      <c r="D81" s="6" t="inlineStr">
        <is>
          <t>4 tier funzionali (T0/T1/T2/T3) + 12 sub-tier method-specific (T4.A-L); logica compute_required_data() formalizzata</t>
        </is>
      </c>
      <c r="E81" s="6" t="inlineStr">
        <is>
          <t>Step 9 chiuso</t>
        </is>
      </c>
      <c r="F81" s="6" t="inlineStr">
        <is>
          <t>Tier matrix</t>
        </is>
      </c>
    </row>
    <row r="82">
      <c r="A82" s="10" t="inlineStr">
        <is>
          <t>P2.5.10</t>
        </is>
      </c>
      <c r="B82" s="8" t="inlineStr">
        <is>
          <t>Fase 2.5</t>
        </is>
      </c>
      <c r="C82" s="8" t="inlineStr">
        <is>
          <t>Sector packs</t>
        </is>
      </c>
      <c r="D82" s="8" t="inlineStr">
        <is>
          <t>5 pack settoriali (industrial, saas, retail, real_estate, services) + 1 generic; 14 KPI sector-specific; logica apply_sector_pack() formalizzata</t>
        </is>
      </c>
      <c r="E82" s="8" t="inlineStr">
        <is>
          <t>Step 10 chiuso</t>
        </is>
      </c>
      <c r="F82" s="8" t="inlineStr">
        <is>
          <t>Sector packs</t>
        </is>
      </c>
    </row>
    <row r="83">
      <c r="A83" s="9" t="inlineStr">
        <is>
          <t>P2.5.11</t>
        </is>
      </c>
      <c r="B83" s="6" t="inlineStr">
        <is>
          <t>Fase 2.5</t>
        </is>
      </c>
      <c r="C83" s="6" t="inlineStr">
        <is>
          <t>Approximation + Exclusion + Improvement log</t>
        </is>
      </c>
      <c r="D83" s="6" t="inlineStr">
        <is>
          <t>15 APX + 16 EXC + 16 IMP con schema completo; output format YAML/JSON strutturato</t>
        </is>
      </c>
      <c r="E83" s="6" t="inlineStr">
        <is>
          <t>Step 11 chiuso</t>
        </is>
      </c>
      <c r="F83" s="6" t="inlineStr">
        <is>
          <t>Log + roadmap</t>
        </is>
      </c>
    </row>
    <row r="84">
      <c r="A84" s="10" t="inlineStr">
        <is>
          <t>P2.5.12</t>
        </is>
      </c>
      <c r="B84" s="8" t="inlineStr">
        <is>
          <t>Fase 2.5</t>
        </is>
      </c>
      <c r="C84" s="8" t="inlineStr">
        <is>
          <t>Pilot v1.1 finale</t>
        </is>
      </c>
      <c r="D84" s="8" t="inlineStr">
        <is>
          <t>Versione pilot v1.1 = output Fase 2.5 completa, pronta per implementazione engine Python</t>
        </is>
      </c>
      <c r="E84" s="8" t="inlineStr">
        <is>
          <t>Specification freeze</t>
        </is>
      </c>
      <c r="F84" s="8" t="inlineStr">
        <is>
          <t>Tutto modello</t>
        </is>
      </c>
    </row>
    <row r="86" ht="22" customHeight="1">
      <c r="A86" s="3" t="inlineStr">
        <is>
          <t>Statistiche decisioni</t>
        </is>
      </c>
    </row>
    <row r="87">
      <c r="A87" s="20" t="inlineStr">
        <is>
          <t>• Totale decisioni: 80 (Fase 1: 38 architetturali base, Fase 2: 30 raffinamenti+estensioni v1.1, Fase 2.5: 12 normalization completion)</t>
        </is>
      </c>
    </row>
    <row r="88">
      <c r="A88" s="20" t="inlineStr">
        <is>
          <t>• Decisioni P2.x derivanti da critiche puntuali Doc GPT (Doc 1 + Doc 2): integrate selettivamente (puntuali) o respinte e classificate come improvement (sistemiche complesse)</t>
        </is>
      </c>
    </row>
    <row r="89">
      <c r="A89" s="20" t="inlineStr">
        <is>
          <t>• Decisioni Fase 2.5: chiusura technical normalization layer, 11 step di Step 1 a Step 11 formalizzati e validati step-by-step</t>
        </is>
      </c>
    </row>
    <row r="90">
      <c r="A90" s="20" t="inlineStr">
        <is>
          <t>• Tracciabilità: ogni voce/metodo/regola del modello è collegabile a una decisione che ne giustifica scelta tecnica e default</t>
        </is>
      </c>
    </row>
  </sheetData>
  <mergeCells count="7">
    <mergeCell ref="A90:F90"/>
    <mergeCell ref="A1:F1"/>
    <mergeCell ref="A89:F89"/>
    <mergeCell ref="A88:F88"/>
    <mergeCell ref="A3:F3"/>
    <mergeCell ref="A86:F86"/>
    <mergeCell ref="A87:F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2026-04-27T16:31:55Z</dcterms:created>
  <dcterms:modified xmlns:dcterms="http://purl.org/dc/terms/" xmlns:xsi="http://www.w3.org/2001/XMLSchema-instance" xsi:type="dcterms:W3CDTF">2026-04-27T16:32:01Z</dcterms:modified>
</cp:coreProperties>
</file>